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oi\Downloads\"/>
    </mc:Choice>
  </mc:AlternateContent>
  <bookViews>
    <workbookView xWindow="0" yWindow="0" windowWidth="7470" windowHeight="3150" firstSheet="5" activeTab="9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  <sheet name="Sales Data" sheetId="1" r:id="rId8"/>
    <sheet name="Project Info" sheetId="2" r:id="rId9"/>
    <sheet name="Sales Dashboard" sheetId="10" r:id="rId10"/>
  </sheets>
  <definedNames>
    <definedName name="_xlnm._FilterDatabase" localSheetId="7" hidden="1">'Sales Data'!$A$1:$J$251</definedName>
  </definedNames>
  <calcPr calcId="152511"/>
  <pivotCaches>
    <pivotCache cacheId="12" r:id="rId11"/>
  </pivotCaches>
</workbook>
</file>

<file path=xl/calcChain.xml><?xml version="1.0" encoding="utf-8"?>
<calcChain xmlns="http://schemas.openxmlformats.org/spreadsheetml/2006/main">
  <c r="A254" i="1" l="1"/>
  <c r="A253" i="1"/>
</calcChain>
</file>

<file path=xl/sharedStrings.xml><?xml version="1.0" encoding="utf-8"?>
<sst xmlns="http://schemas.openxmlformats.org/spreadsheetml/2006/main" count="1356" uniqueCount="407">
  <si>
    <t>Order ID</t>
  </si>
  <si>
    <t>Order Date</t>
  </si>
  <si>
    <t>Customer</t>
  </si>
  <si>
    <t>Product</t>
  </si>
  <si>
    <t>Category</t>
  </si>
  <si>
    <t>Region</t>
  </si>
  <si>
    <t>Quantity</t>
  </si>
  <si>
    <t>Discount</t>
  </si>
  <si>
    <t>Sales</t>
  </si>
  <si>
    <t>Profit</t>
  </si>
  <si>
    <t>ORD-0001</t>
  </si>
  <si>
    <t>Customer 095</t>
  </si>
  <si>
    <t>Smartphone</t>
  </si>
  <si>
    <t>Electronics</t>
  </si>
  <si>
    <t>KwaZulu-Natal</t>
  </si>
  <si>
    <t>ORD-0002</t>
  </si>
  <si>
    <t>Customer 028</t>
  </si>
  <si>
    <t>Notebook</t>
  </si>
  <si>
    <t>Office Supplies</t>
  </si>
  <si>
    <t>Gauteng</t>
  </si>
  <si>
    <t>ORD-0003</t>
  </si>
  <si>
    <t>Customer 090</t>
  </si>
  <si>
    <t>Free State</t>
  </si>
  <si>
    <t>ORD-0004</t>
  </si>
  <si>
    <t>Customer 001</t>
  </si>
  <si>
    <t>Bookshelf</t>
  </si>
  <si>
    <t>Furniture</t>
  </si>
  <si>
    <t>ORD-0005</t>
  </si>
  <si>
    <t>Customer 098</t>
  </si>
  <si>
    <t>Western Cape</t>
  </si>
  <si>
    <t>ORD-0006</t>
  </si>
  <si>
    <t>Customer 045</t>
  </si>
  <si>
    <t>ORD-0007</t>
  </si>
  <si>
    <t>Customer 049</t>
  </si>
  <si>
    <t>Office Chair</t>
  </si>
  <si>
    <t>ORD-0008</t>
  </si>
  <si>
    <t>Customer 006</t>
  </si>
  <si>
    <t>ORD-0009</t>
  </si>
  <si>
    <t>Customer 059</t>
  </si>
  <si>
    <t>ORD-0010</t>
  </si>
  <si>
    <t>Monitor</t>
  </si>
  <si>
    <t>ORD-0011</t>
  </si>
  <si>
    <t>Pen Set</t>
  </si>
  <si>
    <t>ORD-0012</t>
  </si>
  <si>
    <t>Customer 005</t>
  </si>
  <si>
    <t>ORD-0013</t>
  </si>
  <si>
    <t>Customer 073</t>
  </si>
  <si>
    <t>ORD-0014</t>
  </si>
  <si>
    <t>Customer 083</t>
  </si>
  <si>
    <t>Keyboard</t>
  </si>
  <si>
    <t>Eastern Cape</t>
  </si>
  <si>
    <t>ORD-0015</t>
  </si>
  <si>
    <t>Customer 069</t>
  </si>
  <si>
    <t>ORD-0016</t>
  </si>
  <si>
    <t>Customer 018</t>
  </si>
  <si>
    <t>ORD-0017</t>
  </si>
  <si>
    <t>Customer 021</t>
  </si>
  <si>
    <t>Printer</t>
  </si>
  <si>
    <t>ORD-0018</t>
  </si>
  <si>
    <t>Customer 060</t>
  </si>
  <si>
    <t>ORD-0019</t>
  </si>
  <si>
    <t>ORD-0020</t>
  </si>
  <si>
    <t>Desk</t>
  </si>
  <si>
    <t>ORD-0021</t>
  </si>
  <si>
    <t>Customer 065</t>
  </si>
  <si>
    <t>ORD-0022</t>
  </si>
  <si>
    <t>Customer 100</t>
  </si>
  <si>
    <t>ORD-0023</t>
  </si>
  <si>
    <t>Customer 047</t>
  </si>
  <si>
    <t>Laptop</t>
  </si>
  <si>
    <t>ORD-0024</t>
  </si>
  <si>
    <t>Customer 063</t>
  </si>
  <si>
    <t>ORD-0025</t>
  </si>
  <si>
    <t>Customer 022</t>
  </si>
  <si>
    <t>ORD-0026</t>
  </si>
  <si>
    <t>Customer 097</t>
  </si>
  <si>
    <t>ORD-0027</t>
  </si>
  <si>
    <t>Customer 058</t>
  </si>
  <si>
    <t>ORD-0028</t>
  </si>
  <si>
    <t>Customer 071</t>
  </si>
  <si>
    <t>ORD-0029</t>
  </si>
  <si>
    <t>Customer 008</t>
  </si>
  <si>
    <t>ORD-0030</t>
  </si>
  <si>
    <t>Customer 036</t>
  </si>
  <si>
    <t>ORD-0031</t>
  </si>
  <si>
    <t>Customer 061</t>
  </si>
  <si>
    <t>ORD-0032</t>
  </si>
  <si>
    <t>Customer 053</t>
  </si>
  <si>
    <t>ORD-0033</t>
  </si>
  <si>
    <t>Customer 044</t>
  </si>
  <si>
    <t>ORD-0034</t>
  </si>
  <si>
    <t>Customer 024</t>
  </si>
  <si>
    <t>ORD-0035</t>
  </si>
  <si>
    <t>ORD-0036</t>
  </si>
  <si>
    <t>Customer 031</t>
  </si>
  <si>
    <t>ORD-0037</t>
  </si>
  <si>
    <t>ORD-0038</t>
  </si>
  <si>
    <t>ORD-0039</t>
  </si>
  <si>
    <t>ORD-0040</t>
  </si>
  <si>
    <t>Customer 075</t>
  </si>
  <si>
    <t>ORD-0041</t>
  </si>
  <si>
    <t>Customer 011</t>
  </si>
  <si>
    <t>ORD-0042</t>
  </si>
  <si>
    <t>ORD-0043</t>
  </si>
  <si>
    <t>ORD-0044</t>
  </si>
  <si>
    <t>Customer 041</t>
  </si>
  <si>
    <t>ORD-0045</t>
  </si>
  <si>
    <t>ORD-0046</t>
  </si>
  <si>
    <t>ORD-0047</t>
  </si>
  <si>
    <t>ORD-0048</t>
  </si>
  <si>
    <t>ORD-0049</t>
  </si>
  <si>
    <t>Customer 096</t>
  </si>
  <si>
    <t>ORD-0050</t>
  </si>
  <si>
    <t>Customer 027</t>
  </si>
  <si>
    <t>ORD-0051</t>
  </si>
  <si>
    <t>Customer 055</t>
  </si>
  <si>
    <t>ORD-0052</t>
  </si>
  <si>
    <t>Customer 034</t>
  </si>
  <si>
    <t>ORD-0053</t>
  </si>
  <si>
    <t>Customer 089</t>
  </si>
  <si>
    <t>ORD-0054</t>
  </si>
  <si>
    <t>ORD-0055</t>
  </si>
  <si>
    <t>Customer 086</t>
  </si>
  <si>
    <t>ORD-0056</t>
  </si>
  <si>
    <t>ORD-0057</t>
  </si>
  <si>
    <t>Customer 043</t>
  </si>
  <si>
    <t>ORD-0058</t>
  </si>
  <si>
    <t>ORD-0059</t>
  </si>
  <si>
    <t>Customer 030</t>
  </si>
  <si>
    <t>ORD-0060</t>
  </si>
  <si>
    <t>Customer 009</t>
  </si>
  <si>
    <t>ORD-0061</t>
  </si>
  <si>
    <t>Customer 015</t>
  </si>
  <si>
    <t>ORD-0062</t>
  </si>
  <si>
    <t>Customer 056</t>
  </si>
  <si>
    <t>ORD-0063</t>
  </si>
  <si>
    <t>Customer 025</t>
  </si>
  <si>
    <t>ORD-0064</t>
  </si>
  <si>
    <t>ORD-0065</t>
  </si>
  <si>
    <t>Customer 085</t>
  </si>
  <si>
    <t>ORD-0066</t>
  </si>
  <si>
    <t>ORD-0067</t>
  </si>
  <si>
    <t>ORD-0068</t>
  </si>
  <si>
    <t>ORD-0069</t>
  </si>
  <si>
    <t>Customer 057</t>
  </si>
  <si>
    <t>ORD-0070</t>
  </si>
  <si>
    <t>ORD-0071</t>
  </si>
  <si>
    <t>Customer 026</t>
  </si>
  <si>
    <t>ORD-0072</t>
  </si>
  <si>
    <t>Customer 099</t>
  </si>
  <si>
    <t>ORD-0073</t>
  </si>
  <si>
    <t>Customer 032</t>
  </si>
  <si>
    <t>ORD-0074</t>
  </si>
  <si>
    <t>ORD-0075</t>
  </si>
  <si>
    <t>ORD-0076</t>
  </si>
  <si>
    <t>Customer 093</t>
  </si>
  <si>
    <t>ORD-0077</t>
  </si>
  <si>
    <t>ORD-0078</t>
  </si>
  <si>
    <t>ORD-0079</t>
  </si>
  <si>
    <t>Customer 070</t>
  </si>
  <si>
    <t>ORD-0080</t>
  </si>
  <si>
    <t>Customer 091</t>
  </si>
  <si>
    <t>ORD-0081</t>
  </si>
  <si>
    <t>Customer 054</t>
  </si>
  <si>
    <t>ORD-0082</t>
  </si>
  <si>
    <t>ORD-0083</t>
  </si>
  <si>
    <t>Customer 050</t>
  </si>
  <si>
    <t>ORD-0084</t>
  </si>
  <si>
    <t>ORD-0085</t>
  </si>
  <si>
    <t>ORD-0086</t>
  </si>
  <si>
    <t>ORD-0087</t>
  </si>
  <si>
    <t>ORD-0088</t>
  </si>
  <si>
    <t>ORD-0089</t>
  </si>
  <si>
    <t>ORD-0090</t>
  </si>
  <si>
    <t>Customer 084</t>
  </si>
  <si>
    <t>ORD-0091</t>
  </si>
  <si>
    <t>ORD-0092</t>
  </si>
  <si>
    <t>Customer 033</t>
  </si>
  <si>
    <t>ORD-0093</t>
  </si>
  <si>
    <t>Customer 014</t>
  </si>
  <si>
    <t>ORD-0094</t>
  </si>
  <si>
    <t>ORD-0095</t>
  </si>
  <si>
    <t>Customer 039</t>
  </si>
  <si>
    <t>ORD-0096</t>
  </si>
  <si>
    <t>ORD-0097</t>
  </si>
  <si>
    <t>ORD-0098</t>
  </si>
  <si>
    <t>Customer 094</t>
  </si>
  <si>
    <t>ORD-0099</t>
  </si>
  <si>
    <t>ORD-0100</t>
  </si>
  <si>
    <t>ORD-0101</t>
  </si>
  <si>
    <t>Customer 042</t>
  </si>
  <si>
    <t>ORD-0102</t>
  </si>
  <si>
    <t>Customer 077</t>
  </si>
  <si>
    <t>ORD-0103</t>
  </si>
  <si>
    <t>ORD-0104</t>
  </si>
  <si>
    <t>Customer 003</t>
  </si>
  <si>
    <t>ORD-0105</t>
  </si>
  <si>
    <t>ORD-0106</t>
  </si>
  <si>
    <t>ORD-0107</t>
  </si>
  <si>
    <t>ORD-0108</t>
  </si>
  <si>
    <t>ORD-0109</t>
  </si>
  <si>
    <t>Customer 038</t>
  </si>
  <si>
    <t>ORD-0110</t>
  </si>
  <si>
    <t>Customer 017</t>
  </si>
  <si>
    <t>ORD-0111</t>
  </si>
  <si>
    <t>ORD-0112</t>
  </si>
  <si>
    <t>ORD-0113</t>
  </si>
  <si>
    <t>Customer 052</t>
  </si>
  <si>
    <t>ORD-0114</t>
  </si>
  <si>
    <t>ORD-0115</t>
  </si>
  <si>
    <t>Customer 080</t>
  </si>
  <si>
    <t>ORD-0116</t>
  </si>
  <si>
    <t>Customer 076</t>
  </si>
  <si>
    <t>ORD-0117</t>
  </si>
  <si>
    <t>ORD-0118</t>
  </si>
  <si>
    <t>ORD-0119</t>
  </si>
  <si>
    <t>ORD-0120</t>
  </si>
  <si>
    <t>ORD-0121</t>
  </si>
  <si>
    <t>Customer 029</t>
  </si>
  <si>
    <t>ORD-0122</t>
  </si>
  <si>
    <t>Customer 040</t>
  </si>
  <si>
    <t>ORD-0123</t>
  </si>
  <si>
    <t>ORD-0124</t>
  </si>
  <si>
    <t>ORD-0125</t>
  </si>
  <si>
    <t>Customer 087</t>
  </si>
  <si>
    <t>ORD-0126</t>
  </si>
  <si>
    <t>Customer 023</t>
  </si>
  <si>
    <t>ORD-0127</t>
  </si>
  <si>
    <t>ORD-0128</t>
  </si>
  <si>
    <t>ORD-0129</t>
  </si>
  <si>
    <t>ORD-0130</t>
  </si>
  <si>
    <t>ORD-0131</t>
  </si>
  <si>
    <t>Customer 067</t>
  </si>
  <si>
    <t>ORD-0132</t>
  </si>
  <si>
    <t>ORD-0133</t>
  </si>
  <si>
    <t>Customer 081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</si>
  <si>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</si>
  <si>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</si>
  <si>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</si>
  <si>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</si>
  <si>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</si>
  <si>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</si>
  <si>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</si>
  <si>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</si>
  <si>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</si>
  <si>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</si>
  <si>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</si>
  <si>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</si>
  <si>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Customer 051</t>
  </si>
  <si>
    <t>ORD-0146</t>
  </si>
  <si>
    <t>ORD-0147</t>
  </si>
  <si>
    <t>Customer 037</t>
  </si>
  <si>
    <t>ORD-0148</t>
  </si>
  <si>
    <t>ORD-0149</t>
  </si>
  <si>
    <t>Customer 048</t>
  </si>
  <si>
    <t>ORD-0150</t>
  </si>
  <si>
    <t>ORD-0151</t>
  </si>
  <si>
    <t>Customer 019</t>
  </si>
  <si>
    <t>ORD-0152</t>
  </si>
  <si>
    <t>Customer 002</t>
  </si>
  <si>
    <t>ORD-0153</t>
  </si>
  <si>
    <t>ORD-0154</t>
  </si>
  <si>
    <t>ORD-0155</t>
  </si>
  <si>
    <t>Customer 046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</si>
  <si>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</si>
  <si>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</si>
  <si>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</si>
  <si>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</si>
  <si>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</si>
  <si>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</si>
  <si>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</si>
  <si>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</si>
  <si>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</si>
  <si>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</si>
  <si>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</si>
  <si>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Customer 082</t>
  </si>
  <si>
    <t>ORD-0167</t>
  </si>
  <si>
    <t>ORD-0168</t>
  </si>
  <si>
    <t>ORD-0169</t>
  </si>
  <si>
    <t>ORD-0170</t>
  </si>
  <si>
    <t>ORD-0171</t>
  </si>
  <si>
    <t>Customer 088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</si>
  <si>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</si>
  <si>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</si>
  <si>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</si>
  <si>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</si>
  <si>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</si>
  <si>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</si>
  <si>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</si>
  <si>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</si>
  <si>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</si>
  <si>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Customer 004</t>
  </si>
  <si>
    <t>ORD-0181</t>
  </si>
  <si>
    <t>ORD-0182</t>
  </si>
  <si>
    <t>ORD-0183</t>
  </si>
  <si>
    <t>Customer 078</t>
  </si>
  <si>
    <t>ORD-0184</t>
  </si>
  <si>
    <t>ORD-0185</t>
  </si>
  <si>
    <t>ORD-0186</t>
  </si>
  <si>
    <t>ORD-0187</t>
  </si>
  <si>
    <t>ORD-0188</t>
  </si>
  <si>
    <t>ORD-0189</t>
  </si>
  <si>
    <t>Customer 074</t>
  </si>
  <si>
    <t>ORD-0190</t>
  </si>
  <si>
    <t>ORD-0191</t>
  </si>
  <si>
    <t>Customer 072</t>
  </si>
  <si>
    <t>ORD-0192</t>
  </si>
  <si>
    <t>Customer 035</t>
  </si>
  <si>
    <t>ORD-0193</t>
  </si>
  <si>
    <t>ORD-0194</t>
  </si>
  <si>
    <t>ORD-0195</t>
  </si>
  <si>
    <t>ORD-0196</t>
  </si>
  <si>
    <t>ORD-0197</t>
  </si>
  <si>
    <t>ORD-0198</t>
  </si>
  <si>
    <t>Customer 066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</si>
  <si>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</si>
  <si>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</si>
  <si>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</si>
  <si>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</si>
  <si>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</si>
  <si>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</si>
  <si>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</si>
  <si>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</si>
  <si>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</si>
  <si>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</si>
  <si>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</si>
  <si>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</si>
  <si>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</si>
  <si>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</si>
  <si>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</si>
  <si>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</si>
  <si>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</si>
  <si>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</si>
  <si>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</si>
  <si>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</si>
  <si>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Customer 068</t>
  </si>
  <si>
    <t>ORD-0219</t>
  </si>
  <si>
    <t>ORD-0220</t>
  </si>
  <si>
    <t>Customer 013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</si>
  <si>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</si>
  <si>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</si>
  <si>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</si>
  <si>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</si>
  <si>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</si>
  <si>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</si>
  <si>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</si>
  <si>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</si>
  <si>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</si>
  <si>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</si>
  <si>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</si>
  <si>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</si>
  <si>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</si>
  <si>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</si>
  <si>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</si>
  <si>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</si>
  <si>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</si>
  <si>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</si>
  <si>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</si>
  <si>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</si>
  <si>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</si>
  <si>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</si>
  <si>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</si>
  <si>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</si>
  <si>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</si>
  <si>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</si>
  <si>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</si>
  <si>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</si>
  <si>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</si>
  <si>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</si>
  <si>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Project</t>
  </si>
  <si>
    <t>Purpose</t>
  </si>
  <si>
    <t>Tools</t>
  </si>
  <si>
    <t>Sales Data Analysis</t>
  </si>
  <si>
    <t>Practice data cleaning, analysis and dashboard creation</t>
  </si>
  <si>
    <t>Microsoft Excel and Power BI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</si>
  <si>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</si>
  <si>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</si>
  <si>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</si>
  <si>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</si>
  <si>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</si>
  <si>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</si>
  <si>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</si>
  <si>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</si>
  <si>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</si>
  <si>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</si>
  <si>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Sum of Profit</t>
  </si>
  <si>
    <t>Sales Analysis Summary</t>
  </si>
  <si>
    <t xml:space="preserve">Total Sales </t>
  </si>
  <si>
    <t>3,830,706</t>
  </si>
  <si>
    <t>Highest Sales Product</t>
  </si>
  <si>
    <t>Highest sale region</t>
  </si>
  <si>
    <t>Highest sale Month</t>
  </si>
  <si>
    <t>January</t>
  </si>
  <si>
    <t>Total Profit</t>
  </si>
  <si>
    <t>881,681.91</t>
  </si>
  <si>
    <t>Highest Profit region</t>
  </si>
  <si>
    <t>Kwazulu-Natal</t>
  </si>
  <si>
    <t xml:space="preserve">Highest Profit Product </t>
  </si>
  <si>
    <t xml:space="preserve">Highest Profit Months </t>
  </si>
  <si>
    <t>Sales Analyisis Dashboard</t>
  </si>
  <si>
    <t>TOTAL SALES</t>
  </si>
  <si>
    <t>R3,830,706</t>
  </si>
  <si>
    <t>R881,681.91</t>
  </si>
  <si>
    <t>TOP PRODUCT</t>
  </si>
  <si>
    <t>TOP REGION</t>
  </si>
  <si>
    <t>TOTAL PROFIT</t>
  </si>
  <si>
    <t>TOP SALES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</si>
</sst>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Bookshelf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Notebook</c:v>
                </c:pt>
                <c:pt idx="6">
                  <c:v>Office Chair</c:v>
                </c:pt>
                <c:pt idx="7">
                  <c:v>Pen Set</c:v>
                </c:pt>
                <c:pt idx="8">
                  <c:v>Printer</c:v>
                </c:pt>
                <c:pt idx="9">
                  <c:v>Smartphone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44375.090000000011</c:v>
                </c:pt>
                <c:pt idx="1">
                  <c:v>66244.069999999992</c:v>
                </c:pt>
                <c:pt idx="2">
                  <c:v>15632.55</c:v>
                </c:pt>
                <c:pt idx="3">
                  <c:v>260801.64999999997</c:v>
                </c:pt>
                <c:pt idx="4">
                  <c:v>78850.300000000017</c:v>
                </c:pt>
                <c:pt idx="5">
                  <c:v>2406.4100000000012</c:v>
                </c:pt>
                <c:pt idx="6">
                  <c:v>44326.29</c:v>
                </c:pt>
                <c:pt idx="7">
                  <c:v>2021.3200000000002</c:v>
                </c:pt>
                <c:pt idx="8">
                  <c:v>63257.320000000007</c:v>
                </c:pt>
                <c:pt idx="9">
                  <c:v>166233.65999999997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000560"/>
        <c:axId val="263001344"/>
      </c:barChart>
      <c:catAx>
        <c:axId val="26300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01344"/>
        <c:crosses val="autoZero"/>
        <c:auto val="1"/>
        <c:lblAlgn val="ctr"/>
        <c:lblOffset val="100"/>
        <c:noMultiLvlLbl val="0"/>
      </c:catAx>
      <c:valAx>
        <c:axId val="26300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Profit</a:t>
                </a:r>
                <a:r>
                  <a:rPr lang="en-ZA" baseline="0"/>
                  <a:t> Amount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0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[Sales_Data_Analysis_Project.xlsx]Sheet1!PivotTable1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Bookshelf</c:v>
                </c:pt>
                <c:pt idx="1">
                  <c:v>Desk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Notebook</c:v>
                </c:pt>
                <c:pt idx="6">
                  <c:v>Office Chair</c:v>
                </c:pt>
                <c:pt idx="7">
                  <c:v>Pen Set</c:v>
                </c:pt>
                <c:pt idx="8">
                  <c:v>Printer</c:v>
                </c:pt>
                <c:pt idx="9">
                  <c:v>Smartphone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214305</c:v>
                </c:pt>
                <c:pt idx="1">
                  <c:v>314400</c:v>
                </c:pt>
                <c:pt idx="2">
                  <c:v>79730</c:v>
                </c:pt>
                <c:pt idx="3">
                  <c:v>1281000</c:v>
                </c:pt>
                <c:pt idx="4">
                  <c:v>422940</c:v>
                </c:pt>
                <c:pt idx="5">
                  <c:v>12740</c:v>
                </c:pt>
                <c:pt idx="6">
                  <c:v>237150</c:v>
                </c:pt>
                <c:pt idx="7">
                  <c:v>10926</c:v>
                </c:pt>
                <c:pt idx="8">
                  <c:v>367640</c:v>
                </c:pt>
                <c:pt idx="9">
                  <c:v>889875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307768"/>
        <c:axId val="363308944"/>
      </c:barChart>
      <c:catAx>
        <c:axId val="363307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308944"/>
        <c:crosses val="autoZero"/>
        <c:auto val="1"/>
        <c:lblAlgn val="ctr"/>
        <c:lblOffset val="100"/>
        <c:noMultiLvlLbl val="0"/>
      </c:catAx>
      <c:valAx>
        <c:axId val="3633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30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Western Cape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611361.5</c:v>
                </c:pt>
                <c:pt idx="1">
                  <c:v>689688</c:v>
                </c:pt>
                <c:pt idx="2">
                  <c:v>908436.5</c:v>
                </c:pt>
                <c:pt idx="3">
                  <c:v>845328</c:v>
                </c:pt>
                <c:pt idx="4">
                  <c:v>775892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716120"/>
        <c:axId val="401716904"/>
      </c:barChart>
      <c:catAx>
        <c:axId val="40171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6904"/>
        <c:crosses val="autoZero"/>
        <c:auto val="1"/>
        <c:lblAlgn val="ctr"/>
        <c:lblOffset val="100"/>
        <c:noMultiLvlLbl val="0"/>
      </c:catAx>
      <c:valAx>
        <c:axId val="40171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[Sales_Data_Analysis_Project.xlsx]Sheet4!PivotTable4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Western Cape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124267.23</c:v>
                </c:pt>
                <c:pt idx="1">
                  <c:v>130301.72000000002</c:v>
                </c:pt>
                <c:pt idx="2">
                  <c:v>175460.10999999993</c:v>
                </c:pt>
                <c:pt idx="3">
                  <c:v>179630.40000000002</c:v>
                </c:pt>
                <c:pt idx="4">
                  <c:v>134489.19999999998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718472"/>
        <c:axId val="401713376"/>
      </c:barChart>
      <c:catAx>
        <c:axId val="40171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3376"/>
        <c:crosses val="autoZero"/>
        <c:auto val="1"/>
        <c:lblAlgn val="ctr"/>
        <c:lblOffset val="100"/>
        <c:noMultiLvlLbl val="0"/>
      </c:catAx>
      <c:valAx>
        <c:axId val="4017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8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7"/>
                <c:pt idx="0">
                  <c:v>929414.5</c:v>
                </c:pt>
                <c:pt idx="1">
                  <c:v>329360</c:v>
                </c:pt>
                <c:pt idx="2">
                  <c:v>802868</c:v>
                </c:pt>
                <c:pt idx="3">
                  <c:v>528855</c:v>
                </c:pt>
                <c:pt idx="4">
                  <c:v>409382</c:v>
                </c:pt>
                <c:pt idx="5">
                  <c:v>744404</c:v>
                </c:pt>
                <c:pt idx="6">
                  <c:v>86422.5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718864"/>
        <c:axId val="401719256"/>
      </c:barChart>
      <c:catAx>
        <c:axId val="4017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9256"/>
        <c:crosses val="autoZero"/>
        <c:auto val="1"/>
        <c:lblAlgn val="ctr"/>
        <c:lblOffset val="100"/>
        <c:noMultiLvlLbl val="0"/>
      </c:catAx>
      <c:valAx>
        <c:axId val="40171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Sales</a:t>
                </a:r>
                <a:r>
                  <a:rPr lang="en-ZA" baseline="0"/>
                  <a:t> Amount</a:t>
                </a:r>
                <a:r>
                  <a:rPr lang="en-ZA"/>
                  <a:t>i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[Sales_Data_Analysis_Project.xlsx]Sheet6!PivotTable6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Profit</a:t>
            </a:r>
            <a:r>
              <a:rPr lang="en-ZA" baseline="0"/>
              <a:t> by months 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175781.68999999994</c:v>
                </c:pt>
                <c:pt idx="1">
                  <c:v>73098.279999999984</c:v>
                </c:pt>
                <c:pt idx="2">
                  <c:v>165220.97</c:v>
                </c:pt>
                <c:pt idx="3">
                  <c:v>103359.08</c:v>
                </c:pt>
                <c:pt idx="4">
                  <c:v>80408.529999999984</c:v>
                </c:pt>
                <c:pt idx="5">
                  <c:v>129536.47</c:v>
                </c:pt>
                <c:pt idx="6">
                  <c:v>16743.64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713768"/>
        <c:axId val="401712200"/>
      </c:barChart>
      <c:catAx>
        <c:axId val="40171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2200"/>
        <c:crosses val="autoZero"/>
        <c:auto val="1"/>
        <c:lblAlgn val="ctr"/>
        <c:lblOffset val="100"/>
        <c:noMultiLvlLbl val="0"/>
      </c:catAx>
      <c:valAx>
        <c:axId val="40171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452437</xdr:colOff>
      <xdr:row>3</xdr:row>
      <xdr:rowOff>138112</xdr:rowOff>
    </xdr:from>
    <xdr:to>
      <xdr:col>10</xdr:col>
      <xdr:colOff>147637</xdr:colOff>
      <xdr:row>18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304800</xdr:colOff>
      <xdr:row>20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500062</xdr:colOff>
      <xdr:row>5</xdr:row>
      <xdr:rowOff>154782</xdr:rowOff>
    </xdr:from>
    <xdr:to>
      <xdr:col>15</xdr:col>
      <xdr:colOff>197644</xdr:colOff>
      <xdr:row>20</xdr:row>
      <xdr:rowOff>40482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304800</xdr:colOff>
      <xdr:row>35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500062</xdr:colOff>
      <xdr:row>20</xdr:row>
      <xdr:rowOff>178593</xdr:rowOff>
    </xdr:from>
    <xdr:to>
      <xdr:col>15</xdr:col>
      <xdr:colOff>197644</xdr:colOff>
      <xdr:row>35</xdr:row>
      <xdr:rowOff>64293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107156</xdr:colOff>
      <xdr:row>36</xdr:row>
      <xdr:rowOff>35718</xdr:rowOff>
    </xdr:from>
    <xdr:to>
      <xdr:col>12</xdr:col>
      <xdr:colOff>190500</xdr:colOff>
      <xdr:row>51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oi" refreshedDate="46256.87340462963" createdVersion="5" refreshedVersion="5" minRefreshableVersion="3" recordCount="250">
  <cacheSource type="worksheet">
    <worksheetSource ref="A1:J251" sheet="Sales Data"/>
  </cacheSource>
  <cacheFields count="10">
    <cacheField name="Order ID" numFmtId="0">
      <sharedItems/>
    </cacheField>
    <cacheField name="Order Date" numFmtId="164">
      <sharedItems containsSemiMixedTypes="0" containsNonDate="0" containsDate="1" containsString="0" minDate="2026-01-01T00:00:00" maxDate="2026-07-02T00:00:00" count="139">
        <d v="2026-01-07T00:00:00"/>
        <d v="2026-01-23T00:00:00"/>
        <d v="2026-06-04T00:00:00"/>
        <d v="2026-02-26T00:00:00"/>
        <d v="2026-03-29T00:00:00"/>
        <d v="2026-01-24T00:00:00"/>
        <d v="2026-01-12T00:00:00"/>
        <d v="2026-03-17T00:00:00"/>
        <d v="2026-01-21T00:00:00"/>
        <d v="2026-04-05T00:00:00"/>
        <d v="2026-06-12T00:00:00"/>
        <d v="2026-03-10T00:00:00"/>
        <d v="2026-06-17T00:00:00"/>
        <d v="2026-03-09T00:00:00"/>
        <d v="2026-04-20T00:00:00"/>
        <d v="2026-01-17T00:00:00"/>
        <d v="2026-05-22T00:00:00"/>
        <d v="2026-01-29T00:00:00"/>
        <d v="2026-02-15T00:00:00"/>
        <d v="2026-02-09T00:00:00"/>
        <d v="2026-06-03T00:00:00"/>
        <d v="2026-01-15T00:00:00"/>
        <d v="2026-02-02T00:00:00"/>
        <d v="2026-06-05T00:00:00"/>
        <d v="2026-04-13T00:00:00"/>
        <d v="2026-02-27T00:00:00"/>
        <d v="2026-01-09T00:00:00"/>
        <d v="2026-05-19T00:00:00"/>
        <d v="2026-01-25T00:00:00"/>
        <d v="2026-06-22T00:00:00"/>
        <d v="2026-02-19T00:00:00"/>
        <d v="2026-03-05T00:00:00"/>
        <d v="2026-06-16T00:00:00"/>
        <d v="2026-05-05T00:00:00"/>
        <d v="2026-01-01T00:00:00"/>
        <d v="2026-06-28T00:00:00"/>
        <d v="2026-05-16T00:00:00"/>
        <d v="2026-06-02T00:00:00"/>
        <d v="2026-03-22T00:00:00"/>
        <d v="2026-04-12T00:00:00"/>
        <d v="2026-04-28T00:00:00"/>
        <d v="2026-03-31T00:00:00"/>
        <d v="2026-06-30T00:00:00"/>
        <d v="2026-02-04T00:00:00"/>
        <d v="2026-03-11T00:00:00"/>
        <d v="2026-05-06T00:00:00"/>
        <d v="2026-01-10T00:00:00"/>
        <d v="2026-01-11T00:00:00"/>
        <d v="2026-05-24T00:00:00"/>
        <d v="2026-04-16T00:00:00"/>
        <d v="2026-02-21T00:00:00"/>
        <d v="2026-06-18T00:00:00"/>
        <d v="2026-06-14T00:00:00"/>
        <d v="2026-05-29T00:00:00"/>
        <d v="2026-04-22T00:00:00"/>
        <d v="2026-07-01T00:00:00"/>
        <d v="2026-04-21T00:00:00"/>
        <d v="2026-05-10T00:00:00"/>
        <d v="2026-05-26T00:00:00"/>
        <d v="2026-02-23T00:00:00"/>
        <d v="2026-05-02T00:00:00"/>
        <d v="2026-04-17T00:00:00"/>
        <d v="2026-01-28T00:00:00"/>
        <d v="2026-01-13T00:00:00"/>
        <d v="2026-05-21T00:00:00"/>
        <d v="2026-03-15T00:00:00"/>
        <d v="2026-02-08T00:00:00"/>
        <d v="2026-04-18T00:00:00"/>
        <d v="2026-05-03T00:00:00"/>
        <d v="2026-05-20T00:00:00"/>
        <d v="2026-04-10T00:00:00"/>
        <d v="2026-05-17T00:00:00"/>
        <d v="2026-04-08T00:00:00"/>
        <d v="2026-06-21T00:00:00"/>
        <d v="2026-03-21T00:00:00"/>
        <d v="2026-06-26T00:00:00"/>
        <d v="2026-05-25T00:00:00"/>
        <d v="2026-04-03T00:00:00"/>
        <d v="2026-06-07T00:00:00"/>
        <d v="2026-03-24T00:00:00"/>
        <d v="2026-02-24T00:00:00"/>
        <d v="2026-01-03T00:00:00"/>
        <d v="2026-03-03T00:00:00"/>
        <d v="2026-06-29T00:00:00"/>
        <d v="2026-05-31T00:00:00"/>
        <d v="2026-01-14T00:00:00"/>
        <d v="2026-01-04T00:00:00"/>
        <d v="2026-03-06T00:00:00"/>
        <d v="2026-05-28T00:00:00"/>
        <d v="2026-06-19T00:00:00"/>
        <d v="2026-03-01T00:00:00"/>
        <d v="2026-02-06T00:00:00"/>
        <d v="2026-05-09T00:00:00"/>
        <d v="2026-01-06T00:00:00"/>
        <d v="2026-03-26T00:00:00"/>
        <d v="2026-04-27T00:00:00"/>
        <d v="2026-05-08T00:00:00"/>
        <d v="2026-04-23T00:00:00"/>
        <d v="2026-03-16T00:00:00"/>
        <d v="2026-01-18T00:00:00"/>
        <d v="2026-03-14T00:00:00"/>
        <d v="2026-03-30T00:00:00"/>
        <d v="2026-05-27T00:00:00"/>
        <d v="2026-05-01T00:00:00"/>
        <d v="2026-03-04T00:00:00"/>
        <d v="2026-06-08T00:00:00"/>
        <d v="2026-06-13T00:00:00"/>
        <d v="2026-06-23T00:00:00"/>
        <d v="2026-05-04T00:00:00"/>
        <d v="2026-04-01T00:00:00"/>
        <d v="2026-06-10T00:00:00"/>
        <d v="2026-02-03T00:00:00"/>
        <d v="2026-03-28T00:00:00"/>
        <d v="2026-05-23T00:00:00"/>
        <d v="2026-02-01T00:00:00"/>
        <d v="2026-01-30T00:00:00"/>
        <d v="2026-04-24T00:00:00"/>
        <d v="2026-06-15T00:00:00"/>
        <d v="2026-02-25T00:00:00"/>
        <d v="2026-02-07T00:00:00"/>
        <d v="2026-04-25T00:00:00"/>
        <d v="2026-03-25T00:00:00"/>
        <d v="2026-06-20T00:00:00"/>
        <d v="2026-02-22T00:00:00"/>
        <d v="2026-01-05T00:00:00"/>
        <d v="2026-04-14T00:00:00"/>
        <d v="2026-03-27T00:00:00"/>
        <d v="2026-01-27T00:00:00"/>
        <d v="2026-06-24T00:00:00"/>
        <d v="2026-06-11T00:00:00"/>
        <d v="2026-04-26T00:00:00"/>
        <d v="2026-02-10T00:00:00"/>
        <d v="2026-04-07T00:00:00"/>
        <d v="2026-06-06T00:00:00"/>
        <d v="2026-01-08T00:00:00"/>
        <d v="2026-02-05T00:00:00"/>
        <d v="2026-02-17T00:00:00"/>
        <d v="2026-06-25T00:00:00"/>
        <d v="2026-04-02T00:00:00"/>
      </sharedItems>
      <fieldGroup base="1">
        <rangePr groupBy="months" startDate="2026-01-01T00:00:00" endDate="2026-07-02T00:00:00"/>
        <groupItems count="14">
          <s v="&lt;2026-01-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6-07-02"/>
        </groupItems>
      </fieldGroup>
    </cacheField>
    <cacheField name="Customer" numFmtId="0">
      <sharedItems/>
    </cacheField>
    <cacheField name="Product" numFmtId="0">
      <sharedItems count="10">
        <s v="Smartphone"/>
        <s v="Notebook"/>
        <s v="Bookshelf"/>
        <s v="Office Chair"/>
        <s v="Monitor"/>
        <s v="Pen Set"/>
        <s v="Keyboard"/>
        <s v="Printer"/>
        <s v="Desk"/>
        <s v="Laptop"/>
      </sharedItems>
    </cacheField>
    <cacheField name="Category" numFmtId="0">
      <sharedItems/>
    </cacheField>
    <cacheField name="Region" numFmtId="0">
      <sharedItems count="5">
        <s v="KwaZulu-Natal"/>
        <s v="Gauteng"/>
        <s v="Free State"/>
        <s v="Western Cape"/>
        <s v="Eastern Cape"/>
      </sharedItems>
    </cacheField>
    <cacheField name="Quantity" numFmtId="0">
      <sharedItems containsSemiMixedTypes="0" containsString="0" containsNumber="1" containsInteger="1" minValue="1" maxValue="8"/>
    </cacheField>
    <cacheField name="Discount" numFmtId="0">
      <sharedItems containsSemiMixedTypes="0" containsString="0" containsNumber="1" minValue="0" maxValue="0.1"/>
    </cacheField>
    <cacheField name="Sales" numFmtId="0">
      <sharedItems containsSemiMixedTypes="0" containsString="0" containsNumber="1" minValue="72" maxValue="96000" count="128">
        <n v="37500"/>
        <n v="560"/>
        <n v="80"/>
        <n v="15960"/>
        <n v="10500"/>
        <n v="52500"/>
        <n v="14400"/>
        <n v="480"/>
        <n v="7200"/>
        <n v="25200"/>
        <n v="360"/>
        <n v="4200"/>
        <n v="6120"/>
        <n v="12600"/>
        <n v="798"/>
        <n v="2800"/>
        <n v="756"/>
        <n v="1800"/>
        <n v="152"/>
        <n v="5100"/>
        <n v="64800"/>
        <n v="3400"/>
        <n v="216"/>
        <n v="9720"/>
        <n v="1615"/>
        <n v="120"/>
        <n v="45000"/>
        <n v="2295"/>
        <n v="1530"/>
        <n v="24000"/>
        <n v="3060"/>
        <n v="5040"/>
        <n v="12000"/>
        <n v="16800"/>
        <n v="13965"/>
        <n v="114"/>
        <n v="240"/>
        <n v="15000"/>
        <n v="400"/>
        <n v="5130"/>
        <n v="8400"/>
        <n v="21000"/>
        <n v="72000"/>
        <n v="19600"/>
        <n v="19200"/>
        <n v="22400"/>
        <n v="2550"/>
        <n v="6460"/>
        <n v="43200"/>
        <n v="21280"/>
        <n v="5760"/>
        <n v="84000"/>
        <n v="6080"/>
        <n v="8100"/>
        <n v="288"/>
        <n v="540"/>
        <n v="11970"/>
        <n v="12160"/>
        <n v="10080"/>
        <n v="11200"/>
        <n v="432"/>
        <n v="28500"/>
        <n v="15120"/>
        <n v="49875"/>
        <n v="5950"/>
        <n v="1995"/>
        <n v="108"/>
        <n v="10800"/>
        <n v="9000"/>
        <n v="48000"/>
        <n v="5600"/>
        <n v="75600"/>
        <n v="7125"/>
        <n v="12960"/>
        <n v="18620"/>
        <n v="320"/>
        <n v="576"/>
        <n v="24320"/>
        <n v="1700"/>
        <n v="16000"/>
        <n v="60000"/>
        <n v="33750"/>
        <n v="96000"/>
        <n v="7500"/>
        <n v="13500"/>
        <n v="3600"/>
        <n v="26460"/>
        <n v="57000"/>
        <n v="960"/>
        <n v="600"/>
        <n v="608"/>
        <n v="22800"/>
        <n v="2422.5"/>
        <n v="7560"/>
        <n v="18900"/>
        <n v="54000"/>
        <n v="20160"/>
        <n v="7980"/>
        <n v="35625"/>
        <n v="160"/>
        <n v="29400"/>
        <n v="5400"/>
        <n v="1620"/>
        <n v="4845"/>
        <n v="3240"/>
        <n v="720"/>
        <n v="10640"/>
        <n v="456"/>
        <n v="4860"/>
        <n v="22500"/>
        <n v="532"/>
        <n v="15200"/>
        <n v="3990"/>
        <n v="9975"/>
        <n v="6800"/>
        <n v="3200"/>
        <n v="31920"/>
        <n v="14700"/>
        <n v="13300"/>
        <n v="684"/>
        <n v="3040"/>
        <n v="3780"/>
        <n v="13680"/>
        <n v="27000"/>
        <n v="72"/>
        <n v="30240"/>
        <n v="14000"/>
        <n v="1710"/>
      </sharedItems>
    </cacheField>
    <cacheField name="Profit" numFmtId="0">
      <sharedItems containsSemiMixedTypes="0" containsString="0" containsNumber="1" minValue="11.99" maxValue="23806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s v="ORD-0001"/>
    <x v="0"/>
    <s v="Customer 095"/>
    <x v="0"/>
    <s v="Electronics"/>
    <x v="0"/>
    <n v="5"/>
    <n v="0"/>
    <x v="0"/>
    <n v="5256.67"/>
  </r>
  <r>
    <s v="ORD-0002"/>
    <x v="1"/>
    <s v="Customer 028"/>
    <x v="1"/>
    <s v="Office Supplies"/>
    <x v="1"/>
    <n v="7"/>
    <n v="0"/>
    <x v="1"/>
    <n v="59"/>
  </r>
  <r>
    <s v="ORD-0003"/>
    <x v="2"/>
    <s v="Customer 090"/>
    <x v="1"/>
    <s v="Office Supplies"/>
    <x v="2"/>
    <n v="1"/>
    <n v="0"/>
    <x v="2"/>
    <n v="18.309999999999999"/>
  </r>
  <r>
    <s v="ORD-0004"/>
    <x v="3"/>
    <s v="Customer 001"/>
    <x v="2"/>
    <s v="Furniture"/>
    <x v="1"/>
    <n v="8"/>
    <n v="0.05"/>
    <x v="3"/>
    <n v="3921.33"/>
  </r>
  <r>
    <s v="ORD-0005"/>
    <x v="4"/>
    <s v="Customer 098"/>
    <x v="2"/>
    <s v="Furniture"/>
    <x v="3"/>
    <n v="5"/>
    <n v="0"/>
    <x v="4"/>
    <n v="1456.94"/>
  </r>
  <r>
    <s v="ORD-0006"/>
    <x v="5"/>
    <s v="Customer 045"/>
    <x v="0"/>
    <s v="Electronics"/>
    <x v="2"/>
    <n v="7"/>
    <n v="0"/>
    <x v="5"/>
    <n v="8642.36"/>
  </r>
  <r>
    <s v="ORD-0007"/>
    <x v="6"/>
    <s v="Customer 049"/>
    <x v="3"/>
    <s v="Furniture"/>
    <x v="0"/>
    <n v="8"/>
    <n v="0"/>
    <x v="6"/>
    <n v="3962.32"/>
  </r>
  <r>
    <s v="ORD-0008"/>
    <x v="7"/>
    <s v="Customer 006"/>
    <x v="1"/>
    <s v="Office Supplies"/>
    <x v="1"/>
    <n v="6"/>
    <n v="0"/>
    <x v="7"/>
    <n v="108.88"/>
  </r>
  <r>
    <s v="ORD-0009"/>
    <x v="8"/>
    <s v="Customer 059"/>
    <x v="3"/>
    <s v="Furniture"/>
    <x v="3"/>
    <n v="4"/>
    <n v="0"/>
    <x v="8"/>
    <n v="1212.6400000000001"/>
  </r>
  <r>
    <s v="ORD-0010"/>
    <x v="9"/>
    <s v="Customer 090"/>
    <x v="4"/>
    <s v="Electronics"/>
    <x v="0"/>
    <n v="6"/>
    <n v="0"/>
    <x v="9"/>
    <n v="5559.91"/>
  </r>
  <r>
    <s v="ORD-0011"/>
    <x v="10"/>
    <s v="Customer 049"/>
    <x v="5"/>
    <s v="Office Supplies"/>
    <x v="3"/>
    <n v="3"/>
    <n v="0"/>
    <x v="10"/>
    <n v="46.59"/>
  </r>
  <r>
    <s v="ORD-0012"/>
    <x v="3"/>
    <s v="Customer 005"/>
    <x v="1"/>
    <s v="Office Supplies"/>
    <x v="3"/>
    <n v="6"/>
    <n v="0"/>
    <x v="7"/>
    <n v="67.790000000000006"/>
  </r>
  <r>
    <s v="ORD-0013"/>
    <x v="11"/>
    <s v="Customer 073"/>
    <x v="2"/>
    <s v="Furniture"/>
    <x v="3"/>
    <n v="2"/>
    <n v="0"/>
    <x v="11"/>
    <n v="1110.33"/>
  </r>
  <r>
    <s v="ORD-0014"/>
    <x v="12"/>
    <s v="Customer 083"/>
    <x v="6"/>
    <s v="Electronics"/>
    <x v="4"/>
    <n v="8"/>
    <n v="0.1"/>
    <x v="12"/>
    <n v="1586.57"/>
  </r>
  <r>
    <s v="ORD-0015"/>
    <x v="13"/>
    <s v="Customer 069"/>
    <x v="4"/>
    <s v="Electronics"/>
    <x v="3"/>
    <n v="3"/>
    <n v="0"/>
    <x v="13"/>
    <n v="2949.64"/>
  </r>
  <r>
    <s v="ORD-0016"/>
    <x v="14"/>
    <s v="Customer 018"/>
    <x v="5"/>
    <s v="Office Supplies"/>
    <x v="2"/>
    <n v="7"/>
    <n v="0.05"/>
    <x v="14"/>
    <n v="111.3"/>
  </r>
  <r>
    <s v="ORD-0017"/>
    <x v="5"/>
    <s v="Customer 021"/>
    <x v="7"/>
    <s v="Office Supplies"/>
    <x v="4"/>
    <n v="1"/>
    <n v="0"/>
    <x v="15"/>
    <n v="357.03"/>
  </r>
  <r>
    <s v="ORD-0018"/>
    <x v="15"/>
    <s v="Customer 060"/>
    <x v="5"/>
    <s v="Office Supplies"/>
    <x v="2"/>
    <n v="7"/>
    <n v="0.1"/>
    <x v="16"/>
    <n v="156.69"/>
  </r>
  <r>
    <s v="ORD-0019"/>
    <x v="16"/>
    <s v="Customer 069"/>
    <x v="3"/>
    <s v="Furniture"/>
    <x v="3"/>
    <n v="1"/>
    <n v="0"/>
    <x v="17"/>
    <n v="400.87"/>
  </r>
  <r>
    <s v="ORD-0020"/>
    <x v="17"/>
    <s v="Customer 001"/>
    <x v="8"/>
    <s v="Furniture"/>
    <x v="3"/>
    <n v="5"/>
    <n v="0.1"/>
    <x v="6"/>
    <n v="1849.94"/>
  </r>
  <r>
    <s v="ORD-0021"/>
    <x v="18"/>
    <s v="Customer 065"/>
    <x v="1"/>
    <s v="Office Supplies"/>
    <x v="2"/>
    <n v="2"/>
    <n v="0.05"/>
    <x v="18"/>
    <n v="38.229999999999997"/>
  </r>
  <r>
    <s v="ORD-0022"/>
    <x v="19"/>
    <s v="Customer 100"/>
    <x v="6"/>
    <s v="Electronics"/>
    <x v="2"/>
    <n v="6"/>
    <n v="0"/>
    <x v="19"/>
    <n v="1005.15"/>
  </r>
  <r>
    <s v="ORD-0023"/>
    <x v="20"/>
    <s v="Customer 047"/>
    <x v="9"/>
    <s v="Electronics"/>
    <x v="3"/>
    <n v="6"/>
    <n v="0.1"/>
    <x v="20"/>
    <n v="6707.18"/>
  </r>
  <r>
    <s v="ORD-0024"/>
    <x v="21"/>
    <s v="Customer 063"/>
    <x v="6"/>
    <s v="Electronics"/>
    <x v="0"/>
    <n v="4"/>
    <n v="0"/>
    <x v="21"/>
    <n v="392.42"/>
  </r>
  <r>
    <s v="ORD-0025"/>
    <x v="22"/>
    <s v="Customer 022"/>
    <x v="1"/>
    <s v="Office Supplies"/>
    <x v="3"/>
    <n v="3"/>
    <n v="0.1"/>
    <x v="22"/>
    <n v="58.41"/>
  </r>
  <r>
    <s v="ORD-0026"/>
    <x v="23"/>
    <s v="Customer 097"/>
    <x v="1"/>
    <s v="Office Supplies"/>
    <x v="1"/>
    <n v="7"/>
    <n v="0"/>
    <x v="1"/>
    <n v="149.63"/>
  </r>
  <r>
    <s v="ORD-0027"/>
    <x v="24"/>
    <s v="Customer 058"/>
    <x v="3"/>
    <s v="Furniture"/>
    <x v="0"/>
    <n v="6"/>
    <n v="0.1"/>
    <x v="23"/>
    <n v="2545.96"/>
  </r>
  <r>
    <s v="ORD-0028"/>
    <x v="25"/>
    <s v="Customer 071"/>
    <x v="6"/>
    <s v="Electronics"/>
    <x v="1"/>
    <n v="2"/>
    <n v="0.05"/>
    <x v="24"/>
    <n v="167.61"/>
  </r>
  <r>
    <s v="ORD-0029"/>
    <x v="3"/>
    <s v="Customer 008"/>
    <x v="5"/>
    <s v="Office Supplies"/>
    <x v="1"/>
    <n v="1"/>
    <n v="0"/>
    <x v="25"/>
    <n v="27.29"/>
  </r>
  <r>
    <s v="ORD-0030"/>
    <x v="26"/>
    <s v="Customer 036"/>
    <x v="0"/>
    <s v="Electronics"/>
    <x v="4"/>
    <n v="6"/>
    <n v="0"/>
    <x v="26"/>
    <n v="8664.66"/>
  </r>
  <r>
    <s v="ORD-0031"/>
    <x v="27"/>
    <s v="Customer 061"/>
    <x v="6"/>
    <s v="Electronics"/>
    <x v="4"/>
    <n v="3"/>
    <n v="0.1"/>
    <x v="27"/>
    <n v="329.88"/>
  </r>
  <r>
    <s v="ORD-0032"/>
    <x v="28"/>
    <s v="Customer 053"/>
    <x v="6"/>
    <s v="Electronics"/>
    <x v="4"/>
    <n v="2"/>
    <n v="0.1"/>
    <x v="28"/>
    <n v="250.57"/>
  </r>
  <r>
    <s v="ORD-0033"/>
    <x v="29"/>
    <s v="Customer 044"/>
    <x v="9"/>
    <s v="Electronics"/>
    <x v="0"/>
    <n v="2"/>
    <n v="0"/>
    <x v="29"/>
    <n v="4139.32"/>
  </r>
  <r>
    <s v="ORD-0034"/>
    <x v="30"/>
    <s v="Customer 024"/>
    <x v="6"/>
    <s v="Electronics"/>
    <x v="3"/>
    <n v="4"/>
    <n v="0.1"/>
    <x v="30"/>
    <n v="383.21"/>
  </r>
  <r>
    <s v="ORD-0035"/>
    <x v="31"/>
    <s v="Customer 071"/>
    <x v="7"/>
    <s v="Office Supplies"/>
    <x v="0"/>
    <n v="2"/>
    <n v="0.1"/>
    <x v="31"/>
    <n v="1237.04"/>
  </r>
  <r>
    <s v="ORD-0036"/>
    <x v="32"/>
    <s v="Customer 031"/>
    <x v="9"/>
    <s v="Electronics"/>
    <x v="1"/>
    <n v="1"/>
    <n v="0"/>
    <x v="32"/>
    <n v="3200.95"/>
  </r>
  <r>
    <s v="ORD-0037"/>
    <x v="33"/>
    <s v="Customer 008"/>
    <x v="2"/>
    <s v="Furniture"/>
    <x v="1"/>
    <n v="8"/>
    <n v="0"/>
    <x v="33"/>
    <n v="4294.7"/>
  </r>
  <r>
    <s v="ORD-0038"/>
    <x v="34"/>
    <s v="Customer 059"/>
    <x v="2"/>
    <s v="Furniture"/>
    <x v="3"/>
    <n v="7"/>
    <n v="0.05"/>
    <x v="34"/>
    <n v="3725.49"/>
  </r>
  <r>
    <s v="ORD-0039"/>
    <x v="35"/>
    <s v="Customer 028"/>
    <x v="2"/>
    <s v="Furniture"/>
    <x v="0"/>
    <n v="8"/>
    <n v="0"/>
    <x v="33"/>
    <n v="2254.25"/>
  </r>
  <r>
    <s v="ORD-0040"/>
    <x v="27"/>
    <s v="Customer 075"/>
    <x v="5"/>
    <s v="Office Supplies"/>
    <x v="4"/>
    <n v="1"/>
    <n v="0.05"/>
    <x v="35"/>
    <n v="12.57"/>
  </r>
  <r>
    <s v="ORD-0041"/>
    <x v="36"/>
    <s v="Customer 011"/>
    <x v="1"/>
    <s v="Office Supplies"/>
    <x v="1"/>
    <n v="3"/>
    <n v="0"/>
    <x v="36"/>
    <n v="65.510000000000005"/>
  </r>
  <r>
    <s v="ORD-0042"/>
    <x v="37"/>
    <s v="Customer 073"/>
    <x v="0"/>
    <s v="Electronics"/>
    <x v="1"/>
    <n v="2"/>
    <n v="0"/>
    <x v="37"/>
    <n v="2590.19"/>
  </r>
  <r>
    <s v="ORD-0043"/>
    <x v="37"/>
    <s v="Customer 075"/>
    <x v="5"/>
    <s v="Office Supplies"/>
    <x v="2"/>
    <n v="1"/>
    <n v="0"/>
    <x v="25"/>
    <n v="21.06"/>
  </r>
  <r>
    <s v="ORD-0044"/>
    <x v="38"/>
    <s v="Customer 041"/>
    <x v="1"/>
    <s v="Office Supplies"/>
    <x v="1"/>
    <n v="5"/>
    <n v="0"/>
    <x v="38"/>
    <n v="88.22"/>
  </r>
  <r>
    <s v="ORD-0045"/>
    <x v="39"/>
    <s v="Customer 097"/>
    <x v="3"/>
    <s v="Furniture"/>
    <x v="0"/>
    <n v="3"/>
    <n v="0.05"/>
    <x v="39"/>
    <n v="935.2"/>
  </r>
  <r>
    <s v="ORD-0046"/>
    <x v="40"/>
    <s v="Customer 065"/>
    <x v="9"/>
    <s v="Electronics"/>
    <x v="3"/>
    <n v="2"/>
    <n v="0"/>
    <x v="29"/>
    <n v="4722.58"/>
  </r>
  <r>
    <s v="ORD-0047"/>
    <x v="41"/>
    <s v="Customer 021"/>
    <x v="4"/>
    <s v="Electronics"/>
    <x v="4"/>
    <n v="2"/>
    <n v="0"/>
    <x v="40"/>
    <n v="1398.72"/>
  </r>
  <r>
    <s v="ORD-0048"/>
    <x v="42"/>
    <s v="Customer 071"/>
    <x v="1"/>
    <s v="Office Supplies"/>
    <x v="3"/>
    <n v="5"/>
    <n v="0"/>
    <x v="38"/>
    <n v="88.09"/>
  </r>
  <r>
    <s v="ORD-0049"/>
    <x v="43"/>
    <s v="Customer 096"/>
    <x v="0"/>
    <s v="Electronics"/>
    <x v="2"/>
    <n v="5"/>
    <n v="0"/>
    <x v="0"/>
    <n v="9755.56"/>
  </r>
  <r>
    <s v="ORD-0050"/>
    <x v="44"/>
    <s v="Customer 027"/>
    <x v="4"/>
    <s v="Electronics"/>
    <x v="3"/>
    <n v="5"/>
    <n v="0"/>
    <x v="41"/>
    <n v="4812.57"/>
  </r>
  <r>
    <s v="ORD-0051"/>
    <x v="45"/>
    <s v="Customer 055"/>
    <x v="1"/>
    <s v="Office Supplies"/>
    <x v="3"/>
    <n v="5"/>
    <n v="0"/>
    <x v="38"/>
    <n v="46.65"/>
  </r>
  <r>
    <s v="ORD-0052"/>
    <x v="34"/>
    <s v="Customer 034"/>
    <x v="9"/>
    <s v="Electronics"/>
    <x v="1"/>
    <n v="6"/>
    <n v="0"/>
    <x v="42"/>
    <n v="15456.99"/>
  </r>
  <r>
    <s v="ORD-0053"/>
    <x v="16"/>
    <s v="Customer 089"/>
    <x v="7"/>
    <s v="Office Supplies"/>
    <x v="1"/>
    <n v="7"/>
    <n v="0"/>
    <x v="43"/>
    <n v="2354.69"/>
  </r>
  <r>
    <s v="ORD-0054"/>
    <x v="46"/>
    <s v="Customer 006"/>
    <x v="1"/>
    <s v="Office Supplies"/>
    <x v="3"/>
    <n v="6"/>
    <n v="0"/>
    <x v="7"/>
    <n v="85.13"/>
  </r>
  <r>
    <s v="ORD-0055"/>
    <x v="47"/>
    <s v="Customer 086"/>
    <x v="8"/>
    <s v="Furniture"/>
    <x v="0"/>
    <n v="6"/>
    <n v="0"/>
    <x v="44"/>
    <n v="4277.22"/>
  </r>
  <r>
    <s v="ORD-0056"/>
    <x v="48"/>
    <s v="Customer 031"/>
    <x v="8"/>
    <s v="Furniture"/>
    <x v="1"/>
    <n v="7"/>
    <n v="0"/>
    <x v="45"/>
    <n v="5972.68"/>
  </r>
  <r>
    <s v="ORD-0057"/>
    <x v="49"/>
    <s v="Customer 043"/>
    <x v="4"/>
    <s v="Electronics"/>
    <x v="4"/>
    <n v="1"/>
    <n v="0"/>
    <x v="11"/>
    <n v="976.84"/>
  </r>
  <r>
    <s v="ORD-0058"/>
    <x v="11"/>
    <s v="Customer 005"/>
    <x v="6"/>
    <s v="Electronics"/>
    <x v="4"/>
    <n v="3"/>
    <n v="0"/>
    <x v="46"/>
    <n v="430.59"/>
  </r>
  <r>
    <s v="ORD-0059"/>
    <x v="50"/>
    <s v="Customer 030"/>
    <x v="6"/>
    <s v="Electronics"/>
    <x v="1"/>
    <n v="8"/>
    <n v="0.05"/>
    <x v="47"/>
    <n v="1000.88"/>
  </r>
  <r>
    <s v="ORD-0060"/>
    <x v="51"/>
    <s v="Customer 009"/>
    <x v="9"/>
    <s v="Electronics"/>
    <x v="3"/>
    <n v="4"/>
    <n v="0.1"/>
    <x v="48"/>
    <n v="6872.56"/>
  </r>
  <r>
    <s v="ORD-0061"/>
    <x v="52"/>
    <s v="Customer 015"/>
    <x v="8"/>
    <s v="Furniture"/>
    <x v="3"/>
    <n v="7"/>
    <n v="0.05"/>
    <x v="49"/>
    <n v="5725.65"/>
  </r>
  <r>
    <s v="ORD-0062"/>
    <x v="53"/>
    <s v="Customer 056"/>
    <x v="4"/>
    <s v="Electronics"/>
    <x v="3"/>
    <n v="5"/>
    <n v="0"/>
    <x v="41"/>
    <n v="2509.7600000000002"/>
  </r>
  <r>
    <s v="ORD-0063"/>
    <x v="54"/>
    <s v="Customer 025"/>
    <x v="8"/>
    <s v="Furniture"/>
    <x v="3"/>
    <n v="2"/>
    <n v="0.1"/>
    <x v="50"/>
    <n v="1508.61"/>
  </r>
  <r>
    <s v="ORD-0064"/>
    <x v="55"/>
    <s v="Customer 069"/>
    <x v="9"/>
    <s v="Electronics"/>
    <x v="1"/>
    <n v="7"/>
    <n v="0"/>
    <x v="51"/>
    <n v="16261.2"/>
  </r>
  <r>
    <s v="ORD-0065"/>
    <x v="56"/>
    <s v="Customer 085"/>
    <x v="8"/>
    <s v="Furniture"/>
    <x v="0"/>
    <n v="2"/>
    <n v="0.05"/>
    <x v="52"/>
    <n v="1289.98"/>
  </r>
  <r>
    <s v="ORD-0066"/>
    <x v="57"/>
    <s v="Customer 090"/>
    <x v="3"/>
    <s v="Furniture"/>
    <x v="3"/>
    <n v="5"/>
    <n v="0.1"/>
    <x v="53"/>
    <n v="1285.57"/>
  </r>
  <r>
    <s v="ORD-0067"/>
    <x v="22"/>
    <s v="Customer 049"/>
    <x v="1"/>
    <s v="Office Supplies"/>
    <x v="1"/>
    <n v="4"/>
    <n v="0.1"/>
    <x v="54"/>
    <n v="63.27"/>
  </r>
  <r>
    <s v="ORD-0068"/>
    <x v="58"/>
    <s v="Customer 001"/>
    <x v="5"/>
    <s v="Office Supplies"/>
    <x v="3"/>
    <n v="5"/>
    <n v="0.1"/>
    <x v="55"/>
    <n v="107.26"/>
  </r>
  <r>
    <s v="ORD-0069"/>
    <x v="59"/>
    <s v="Customer 057"/>
    <x v="3"/>
    <s v="Furniture"/>
    <x v="1"/>
    <n v="7"/>
    <n v="0.05"/>
    <x v="56"/>
    <n v="2198.86"/>
  </r>
  <r>
    <s v="ORD-0070"/>
    <x v="60"/>
    <s v="Customer 085"/>
    <x v="1"/>
    <s v="Office Supplies"/>
    <x v="2"/>
    <n v="3"/>
    <n v="0"/>
    <x v="36"/>
    <n v="36.26"/>
  </r>
  <r>
    <s v="ORD-0071"/>
    <x v="5"/>
    <s v="Customer 026"/>
    <x v="8"/>
    <s v="Furniture"/>
    <x v="1"/>
    <n v="4"/>
    <n v="0.05"/>
    <x v="57"/>
    <n v="1707.69"/>
  </r>
  <r>
    <s v="ORD-0072"/>
    <x v="6"/>
    <s v="Customer 099"/>
    <x v="9"/>
    <s v="Electronics"/>
    <x v="0"/>
    <n v="4"/>
    <n v="0.1"/>
    <x v="48"/>
    <n v="9073.27"/>
  </r>
  <r>
    <s v="ORD-0073"/>
    <x v="61"/>
    <s v="Customer 032"/>
    <x v="7"/>
    <s v="Office Supplies"/>
    <x v="1"/>
    <n v="4"/>
    <n v="0.1"/>
    <x v="58"/>
    <n v="1905"/>
  </r>
  <r>
    <s v="ORD-0074"/>
    <x v="62"/>
    <s v="Customer 090"/>
    <x v="9"/>
    <s v="Electronics"/>
    <x v="2"/>
    <n v="7"/>
    <n v="0"/>
    <x v="51"/>
    <n v="11059.41"/>
  </r>
  <r>
    <s v="ORD-0075"/>
    <x v="63"/>
    <s v="Customer 060"/>
    <x v="7"/>
    <s v="Office Supplies"/>
    <x v="2"/>
    <n v="4"/>
    <n v="0"/>
    <x v="59"/>
    <n v="2040.23"/>
  </r>
  <r>
    <s v="ORD-0076"/>
    <x v="37"/>
    <s v="Customer 093"/>
    <x v="1"/>
    <s v="Office Supplies"/>
    <x v="2"/>
    <n v="6"/>
    <n v="0.1"/>
    <x v="60"/>
    <n v="90.84"/>
  </r>
  <r>
    <s v="ORD-0077"/>
    <x v="64"/>
    <s v="Customer 061"/>
    <x v="2"/>
    <s v="Furniture"/>
    <x v="4"/>
    <n v="8"/>
    <n v="0"/>
    <x v="33"/>
    <n v="3928.81"/>
  </r>
  <r>
    <s v="ORD-0078"/>
    <x v="31"/>
    <s v="Customer 036"/>
    <x v="3"/>
    <s v="Furniture"/>
    <x v="4"/>
    <n v="5"/>
    <n v="0.1"/>
    <x v="53"/>
    <n v="1723.8"/>
  </r>
  <r>
    <s v="ORD-0079"/>
    <x v="65"/>
    <s v="Customer 070"/>
    <x v="0"/>
    <s v="Electronics"/>
    <x v="0"/>
    <n v="4"/>
    <n v="0.05"/>
    <x v="61"/>
    <n v="4572.8999999999996"/>
  </r>
  <r>
    <s v="ORD-0080"/>
    <x v="66"/>
    <s v="Customer 091"/>
    <x v="4"/>
    <s v="Electronics"/>
    <x v="1"/>
    <n v="4"/>
    <n v="0.1"/>
    <x v="62"/>
    <n v="3400.65"/>
  </r>
  <r>
    <s v="ORD-0081"/>
    <x v="61"/>
    <s v="Customer 054"/>
    <x v="0"/>
    <s v="Electronics"/>
    <x v="0"/>
    <n v="7"/>
    <n v="0.05"/>
    <x v="63"/>
    <n v="9858.7900000000009"/>
  </r>
  <r>
    <s v="ORD-0082"/>
    <x v="67"/>
    <s v="Customer 098"/>
    <x v="6"/>
    <s v="Electronics"/>
    <x v="2"/>
    <n v="7"/>
    <n v="0"/>
    <x v="64"/>
    <n v="1512.56"/>
  </r>
  <r>
    <s v="ORD-0083"/>
    <x v="68"/>
    <s v="Customer 050"/>
    <x v="2"/>
    <s v="Furniture"/>
    <x v="4"/>
    <n v="1"/>
    <n v="0.05"/>
    <x v="65"/>
    <n v="306.73"/>
  </r>
  <r>
    <s v="ORD-0084"/>
    <x v="69"/>
    <s v="Customer 056"/>
    <x v="1"/>
    <s v="Office Supplies"/>
    <x v="4"/>
    <n v="4"/>
    <n v="0.1"/>
    <x v="54"/>
    <n v="40.17"/>
  </r>
  <r>
    <s v="ORD-0085"/>
    <x v="70"/>
    <s v="Customer 060"/>
    <x v="9"/>
    <s v="Electronics"/>
    <x v="1"/>
    <n v="6"/>
    <n v="0.1"/>
    <x v="20"/>
    <n v="14926.85"/>
  </r>
  <r>
    <s v="ORD-0086"/>
    <x v="71"/>
    <s v="Customer 085"/>
    <x v="5"/>
    <s v="Office Supplies"/>
    <x v="0"/>
    <n v="1"/>
    <n v="0.1"/>
    <x v="66"/>
    <n v="22.31"/>
  </r>
  <r>
    <s v="ORD-0087"/>
    <x v="52"/>
    <s v="Customer 024"/>
    <x v="0"/>
    <s v="Electronics"/>
    <x v="0"/>
    <n v="7"/>
    <n v="0"/>
    <x v="5"/>
    <n v="13441.75"/>
  </r>
  <r>
    <s v="ORD-0088"/>
    <x v="72"/>
    <s v="Customer 044"/>
    <x v="3"/>
    <s v="Furniture"/>
    <x v="4"/>
    <n v="6"/>
    <n v="0"/>
    <x v="67"/>
    <n v="1963.94"/>
  </r>
  <r>
    <s v="ORD-0089"/>
    <x v="67"/>
    <s v="Customer 096"/>
    <x v="3"/>
    <s v="Furniture"/>
    <x v="2"/>
    <n v="5"/>
    <n v="0"/>
    <x v="68"/>
    <n v="1661.9"/>
  </r>
  <r>
    <s v="ORD-0090"/>
    <x v="41"/>
    <s v="Customer 084"/>
    <x v="9"/>
    <s v="Electronics"/>
    <x v="0"/>
    <n v="4"/>
    <n v="0"/>
    <x v="69"/>
    <n v="11549.85"/>
  </r>
  <r>
    <s v="ORD-0091"/>
    <x v="31"/>
    <s v="Customer 031"/>
    <x v="9"/>
    <s v="Electronics"/>
    <x v="1"/>
    <n v="4"/>
    <n v="0"/>
    <x v="69"/>
    <n v="10168.34"/>
  </r>
  <r>
    <s v="ORD-0092"/>
    <x v="73"/>
    <s v="Customer 033"/>
    <x v="7"/>
    <s v="Office Supplies"/>
    <x v="3"/>
    <n v="2"/>
    <n v="0"/>
    <x v="70"/>
    <n v="1028.75"/>
  </r>
  <r>
    <s v="ORD-0093"/>
    <x v="23"/>
    <s v="Customer 014"/>
    <x v="4"/>
    <s v="Electronics"/>
    <x v="2"/>
    <n v="2"/>
    <n v="0"/>
    <x v="40"/>
    <n v="2298.66"/>
  </r>
  <r>
    <s v="ORD-0094"/>
    <x v="74"/>
    <s v="Customer 026"/>
    <x v="9"/>
    <s v="Electronics"/>
    <x v="0"/>
    <n v="7"/>
    <n v="0.1"/>
    <x v="71"/>
    <n v="20371.53"/>
  </r>
  <r>
    <s v="ORD-0095"/>
    <x v="75"/>
    <s v="Customer 039"/>
    <x v="5"/>
    <s v="Office Supplies"/>
    <x v="2"/>
    <n v="4"/>
    <n v="0"/>
    <x v="7"/>
    <n v="108.24"/>
  </r>
  <r>
    <s v="ORD-0096"/>
    <x v="76"/>
    <s v="Customer 085"/>
    <x v="0"/>
    <s v="Electronics"/>
    <x v="3"/>
    <n v="1"/>
    <n v="0.05"/>
    <x v="72"/>
    <n v="1395.75"/>
  </r>
  <r>
    <s v="ORD-0097"/>
    <x v="57"/>
    <s v="Customer 063"/>
    <x v="0"/>
    <s v="Electronics"/>
    <x v="0"/>
    <n v="6"/>
    <n v="0"/>
    <x v="26"/>
    <n v="11381.56"/>
  </r>
  <r>
    <s v="ORD-0098"/>
    <x v="77"/>
    <s v="Customer 094"/>
    <x v="2"/>
    <s v="Furniture"/>
    <x v="2"/>
    <n v="8"/>
    <n v="0"/>
    <x v="33"/>
    <n v="2996.91"/>
  </r>
  <r>
    <s v="ORD-0099"/>
    <x v="78"/>
    <s v="Customer 094"/>
    <x v="3"/>
    <s v="Furniture"/>
    <x v="2"/>
    <n v="8"/>
    <n v="0.1"/>
    <x v="73"/>
    <n v="2312.11"/>
  </r>
  <r>
    <s v="ORD-0100"/>
    <x v="79"/>
    <s v="Customer 058"/>
    <x v="3"/>
    <s v="Furniture"/>
    <x v="1"/>
    <n v="4"/>
    <n v="0"/>
    <x v="8"/>
    <n v="1081.49"/>
  </r>
  <r>
    <s v="ORD-0101"/>
    <x v="58"/>
    <s v="Customer 042"/>
    <x v="7"/>
    <s v="Office Supplies"/>
    <x v="1"/>
    <n v="7"/>
    <n v="0.05"/>
    <x v="74"/>
    <n v="1958.19"/>
  </r>
  <r>
    <s v="ORD-0102"/>
    <x v="80"/>
    <s v="Customer 077"/>
    <x v="7"/>
    <s v="Office Supplies"/>
    <x v="3"/>
    <n v="6"/>
    <n v="0.05"/>
    <x v="3"/>
    <n v="2573.73"/>
  </r>
  <r>
    <s v="ORD-0103"/>
    <x v="81"/>
    <s v="Customer 053"/>
    <x v="1"/>
    <s v="Office Supplies"/>
    <x v="4"/>
    <n v="4"/>
    <n v="0"/>
    <x v="75"/>
    <n v="45.9"/>
  </r>
  <r>
    <s v="ORD-0104"/>
    <x v="82"/>
    <s v="Customer 003"/>
    <x v="1"/>
    <s v="Office Supplies"/>
    <x v="0"/>
    <n v="8"/>
    <n v="0.1"/>
    <x v="76"/>
    <n v="104.07"/>
  </r>
  <r>
    <s v="ORD-0105"/>
    <x v="3"/>
    <s v="Customer 075"/>
    <x v="3"/>
    <s v="Furniture"/>
    <x v="3"/>
    <n v="7"/>
    <n v="0"/>
    <x v="13"/>
    <n v="1954.48"/>
  </r>
  <r>
    <s v="ORD-0106"/>
    <x v="16"/>
    <s v="Customer 071"/>
    <x v="7"/>
    <s v="Office Supplies"/>
    <x v="3"/>
    <n v="6"/>
    <n v="0.1"/>
    <x v="62"/>
    <n v="4224.43"/>
  </r>
  <r>
    <s v="ORD-0107"/>
    <x v="83"/>
    <s v="Customer 030"/>
    <x v="8"/>
    <s v="Furniture"/>
    <x v="0"/>
    <n v="8"/>
    <n v="0.05"/>
    <x v="77"/>
    <n v="3774.27"/>
  </r>
  <r>
    <s v="ORD-0108"/>
    <x v="38"/>
    <s v="Customer 095"/>
    <x v="6"/>
    <s v="Electronics"/>
    <x v="4"/>
    <n v="2"/>
    <n v="0"/>
    <x v="78"/>
    <n v="228.61"/>
  </r>
  <r>
    <s v="ORD-0109"/>
    <x v="84"/>
    <s v="Customer 038"/>
    <x v="3"/>
    <s v="Furniture"/>
    <x v="1"/>
    <n v="5"/>
    <n v="0"/>
    <x v="68"/>
    <n v="2248.86"/>
  </r>
  <r>
    <s v="ORD-0110"/>
    <x v="18"/>
    <s v="Customer 017"/>
    <x v="8"/>
    <s v="Furniture"/>
    <x v="3"/>
    <n v="5"/>
    <n v="0"/>
    <x v="79"/>
    <n v="3639.09"/>
  </r>
  <r>
    <s v="ORD-0111"/>
    <x v="85"/>
    <s v="Customer 097"/>
    <x v="9"/>
    <s v="Electronics"/>
    <x v="4"/>
    <n v="5"/>
    <n v="0"/>
    <x v="80"/>
    <n v="12888.99"/>
  </r>
  <r>
    <s v="ORD-0112"/>
    <x v="86"/>
    <s v="Customer 044"/>
    <x v="0"/>
    <s v="Electronics"/>
    <x v="1"/>
    <n v="5"/>
    <n v="0.1"/>
    <x v="81"/>
    <n v="6283.19"/>
  </r>
  <r>
    <s v="ORD-0113"/>
    <x v="87"/>
    <s v="Customer 052"/>
    <x v="9"/>
    <s v="Electronics"/>
    <x v="4"/>
    <n v="8"/>
    <n v="0"/>
    <x v="82"/>
    <n v="23806.16"/>
  </r>
  <r>
    <s v="ORD-0114"/>
    <x v="88"/>
    <s v="Customer 073"/>
    <x v="0"/>
    <s v="Electronics"/>
    <x v="3"/>
    <n v="1"/>
    <n v="0"/>
    <x v="83"/>
    <n v="951.42"/>
  </r>
  <r>
    <s v="ORD-0115"/>
    <x v="31"/>
    <s v="Customer 080"/>
    <x v="0"/>
    <s v="Electronics"/>
    <x v="1"/>
    <n v="2"/>
    <n v="0.1"/>
    <x v="84"/>
    <n v="2823.35"/>
  </r>
  <r>
    <s v="ORD-0116"/>
    <x v="72"/>
    <s v="Customer 076"/>
    <x v="1"/>
    <s v="Office Supplies"/>
    <x v="4"/>
    <n v="8"/>
    <n v="0.1"/>
    <x v="76"/>
    <n v="88.43"/>
  </r>
  <r>
    <s v="ORD-0117"/>
    <x v="58"/>
    <s v="Customer 027"/>
    <x v="3"/>
    <s v="Furniture"/>
    <x v="1"/>
    <n v="1"/>
    <n v="0"/>
    <x v="17"/>
    <n v="487.02"/>
  </r>
  <r>
    <s v="ORD-0118"/>
    <x v="89"/>
    <s v="Customer 071"/>
    <x v="3"/>
    <s v="Furniture"/>
    <x v="0"/>
    <n v="2"/>
    <n v="0"/>
    <x v="85"/>
    <n v="515.42999999999995"/>
  </r>
  <r>
    <s v="ORD-0119"/>
    <x v="34"/>
    <s v="Customer 061"/>
    <x v="4"/>
    <s v="Electronics"/>
    <x v="3"/>
    <n v="7"/>
    <n v="0.1"/>
    <x v="86"/>
    <n v="5929.34"/>
  </r>
  <r>
    <s v="ORD-0120"/>
    <x v="90"/>
    <s v="Customer 059"/>
    <x v="9"/>
    <s v="Electronics"/>
    <x v="0"/>
    <n v="5"/>
    <n v="0.05"/>
    <x v="87"/>
    <n v="12912.65"/>
  </r>
  <r>
    <s v="ORD-0121"/>
    <x v="13"/>
    <s v="Customer 029"/>
    <x v="6"/>
    <s v="Electronics"/>
    <x v="1"/>
    <n v="4"/>
    <n v="0.1"/>
    <x v="30"/>
    <n v="369.22"/>
  </r>
  <r>
    <s v="ORD-0122"/>
    <x v="91"/>
    <s v="Customer 040"/>
    <x v="3"/>
    <s v="Furniture"/>
    <x v="2"/>
    <n v="2"/>
    <n v="0"/>
    <x v="85"/>
    <n v="467.52"/>
  </r>
  <r>
    <s v="ORD-0123"/>
    <x v="65"/>
    <s v="Customer 039"/>
    <x v="5"/>
    <s v="Office Supplies"/>
    <x v="4"/>
    <n v="8"/>
    <n v="0"/>
    <x v="88"/>
    <n v="176.99"/>
  </r>
  <r>
    <s v="ORD-0124"/>
    <x v="92"/>
    <s v="Customer 006"/>
    <x v="3"/>
    <s v="Furniture"/>
    <x v="4"/>
    <n v="8"/>
    <n v="0.1"/>
    <x v="73"/>
    <n v="1483.65"/>
  </r>
  <r>
    <s v="ORD-0125"/>
    <x v="2"/>
    <s v="Customer 087"/>
    <x v="8"/>
    <s v="Furniture"/>
    <x v="2"/>
    <n v="5"/>
    <n v="0"/>
    <x v="79"/>
    <n v="1863.02"/>
  </r>
  <r>
    <s v="ORD-0126"/>
    <x v="93"/>
    <s v="Customer 023"/>
    <x v="5"/>
    <s v="Office Supplies"/>
    <x v="4"/>
    <n v="5"/>
    <n v="0"/>
    <x v="89"/>
    <n v="142.41999999999999"/>
  </r>
  <r>
    <s v="ORD-0127"/>
    <x v="32"/>
    <s v="Customer 075"/>
    <x v="1"/>
    <s v="Office Supplies"/>
    <x v="4"/>
    <n v="8"/>
    <n v="0.05"/>
    <x v="90"/>
    <n v="80.66"/>
  </r>
  <r>
    <s v="ORD-0128"/>
    <x v="5"/>
    <s v="Customer 042"/>
    <x v="7"/>
    <s v="Office Supplies"/>
    <x v="0"/>
    <n v="8"/>
    <n v="0.05"/>
    <x v="49"/>
    <n v="3692.14"/>
  </r>
  <r>
    <s v="ORD-0129"/>
    <x v="94"/>
    <s v="Customer 052"/>
    <x v="4"/>
    <s v="Electronics"/>
    <x v="2"/>
    <n v="7"/>
    <n v="0.1"/>
    <x v="86"/>
    <n v="4018.72"/>
  </r>
  <r>
    <s v="ORD-0130"/>
    <x v="95"/>
    <s v="Customer 015"/>
    <x v="9"/>
    <s v="Electronics"/>
    <x v="4"/>
    <n v="2"/>
    <n v="0.05"/>
    <x v="91"/>
    <n v="3315.84"/>
  </r>
  <r>
    <s v="ORD-0131"/>
    <x v="34"/>
    <s v="Customer 067"/>
    <x v="1"/>
    <s v="Office Supplies"/>
    <x v="3"/>
    <n v="8"/>
    <n v="0.1"/>
    <x v="76"/>
    <n v="63.22"/>
  </r>
  <r>
    <s v="ORD-0132"/>
    <x v="96"/>
    <s v="Customer 071"/>
    <x v="5"/>
    <s v="Office Supplies"/>
    <x v="1"/>
    <n v="8"/>
    <n v="0"/>
    <x v="88"/>
    <n v="131.16999999999999"/>
  </r>
  <r>
    <s v="ORD-0133"/>
    <x v="97"/>
    <s v="Customer 081"/>
    <x v="3"/>
    <s v="Furniture"/>
    <x v="2"/>
    <n v="8"/>
    <n v="0"/>
    <x v="6"/>
    <n v="1514.83"/>
  </r>
  <r>
    <s v="ORD-0134"/>
    <x v="55"/>
    <s v="Customer 071"/>
    <x v="6"/>
    <s v="Electronics"/>
    <x v="4"/>
    <n v="3"/>
    <n v="0.05"/>
    <x v="92"/>
    <n v="482.44"/>
  </r>
  <r>
    <s v="ORD-0135"/>
    <x v="25"/>
    <s v="Customer 083"/>
    <x v="0"/>
    <s v="Electronics"/>
    <x v="1"/>
    <n v="2"/>
    <n v="0.1"/>
    <x v="84"/>
    <n v="3651.36"/>
  </r>
  <r>
    <s v="ORD-0136"/>
    <x v="98"/>
    <s v="Customer 061"/>
    <x v="7"/>
    <s v="Office Supplies"/>
    <x v="1"/>
    <n v="5"/>
    <n v="0.1"/>
    <x v="13"/>
    <n v="3153.15"/>
  </r>
  <r>
    <s v="ORD-0137"/>
    <x v="16"/>
    <s v="Customer 077"/>
    <x v="7"/>
    <s v="Office Supplies"/>
    <x v="2"/>
    <n v="3"/>
    <n v="0.1"/>
    <x v="93"/>
    <n v="1015.38"/>
  </r>
  <r>
    <s v="ORD-0138"/>
    <x v="99"/>
    <s v="Customer 065"/>
    <x v="4"/>
    <s v="Electronics"/>
    <x v="3"/>
    <n v="5"/>
    <n v="0.1"/>
    <x v="94"/>
    <n v="3046.26"/>
  </r>
  <r>
    <s v="ORD-0139"/>
    <x v="100"/>
    <s v="Customer 058"/>
    <x v="9"/>
    <s v="Electronics"/>
    <x v="2"/>
    <n v="5"/>
    <n v="0.1"/>
    <x v="95"/>
    <n v="13810.33"/>
  </r>
  <r>
    <s v="ORD-0140"/>
    <x v="101"/>
    <s v="Customer 042"/>
    <x v="7"/>
    <s v="Office Supplies"/>
    <x v="1"/>
    <n v="6"/>
    <n v="0.1"/>
    <x v="62"/>
    <n v="2751.27"/>
  </r>
  <r>
    <s v="ORD-0141"/>
    <x v="102"/>
    <s v="Customer 053"/>
    <x v="6"/>
    <s v="Electronics"/>
    <x v="0"/>
    <n v="7"/>
    <n v="0"/>
    <x v="64"/>
    <n v="1511.79"/>
  </r>
  <r>
    <s v="ORD-0142"/>
    <x v="60"/>
    <s v="Customer 084"/>
    <x v="8"/>
    <s v="Furniture"/>
    <x v="1"/>
    <n v="7"/>
    <n v="0.1"/>
    <x v="96"/>
    <n v="5602.76"/>
  </r>
  <r>
    <s v="ORD-0143"/>
    <x v="46"/>
    <s v="Customer 057"/>
    <x v="7"/>
    <s v="Office Supplies"/>
    <x v="0"/>
    <n v="3"/>
    <n v="0.05"/>
    <x v="97"/>
    <n v="2047.24"/>
  </r>
  <r>
    <s v="ORD-0144"/>
    <x v="95"/>
    <s v="Customer 084"/>
    <x v="1"/>
    <s v="Office Supplies"/>
    <x v="1"/>
    <n v="1"/>
    <n v="0"/>
    <x v="2"/>
    <n v="13.9"/>
  </r>
  <r>
    <s v="ORD-0145"/>
    <x v="103"/>
    <s v="Customer 051"/>
    <x v="0"/>
    <s v="Electronics"/>
    <x v="0"/>
    <n v="5"/>
    <n v="0.05"/>
    <x v="98"/>
    <n v="7559.15"/>
  </r>
  <r>
    <s v="ORD-0146"/>
    <x v="29"/>
    <s v="Customer 098"/>
    <x v="8"/>
    <s v="Furniture"/>
    <x v="4"/>
    <n v="7"/>
    <n v="0.05"/>
    <x v="49"/>
    <n v="4528.8900000000003"/>
  </r>
  <r>
    <s v="ORD-0147"/>
    <x v="46"/>
    <s v="Customer 037"/>
    <x v="1"/>
    <s v="Office Supplies"/>
    <x v="1"/>
    <n v="2"/>
    <n v="0"/>
    <x v="99"/>
    <n v="34.18"/>
  </r>
  <r>
    <s v="ORD-0148"/>
    <x v="54"/>
    <s v="Customer 089"/>
    <x v="0"/>
    <s v="Electronics"/>
    <x v="3"/>
    <n v="2"/>
    <n v="0"/>
    <x v="37"/>
    <n v="2697.93"/>
  </r>
  <r>
    <s v="ORD-0149"/>
    <x v="6"/>
    <s v="Customer 048"/>
    <x v="9"/>
    <s v="Electronics"/>
    <x v="4"/>
    <n v="6"/>
    <n v="0"/>
    <x v="42"/>
    <n v="11002.05"/>
  </r>
  <r>
    <s v="ORD-0150"/>
    <x v="104"/>
    <s v="Customer 011"/>
    <x v="4"/>
    <s v="Electronics"/>
    <x v="2"/>
    <n v="7"/>
    <n v="0"/>
    <x v="100"/>
    <n v="3839.55"/>
  </r>
  <r>
    <s v="ORD-0151"/>
    <x v="105"/>
    <s v="Customer 019"/>
    <x v="2"/>
    <s v="Furniture"/>
    <x v="1"/>
    <n v="4"/>
    <n v="0.1"/>
    <x v="93"/>
    <n v="1998.18"/>
  </r>
  <r>
    <s v="ORD-0152"/>
    <x v="106"/>
    <s v="Customer 002"/>
    <x v="7"/>
    <s v="Office Supplies"/>
    <x v="4"/>
    <n v="5"/>
    <n v="0.1"/>
    <x v="13"/>
    <n v="1839.08"/>
  </r>
  <r>
    <s v="ORD-0153"/>
    <x v="107"/>
    <s v="Customer 045"/>
    <x v="3"/>
    <s v="Furniture"/>
    <x v="2"/>
    <n v="3"/>
    <n v="0"/>
    <x v="101"/>
    <n v="969.36"/>
  </r>
  <r>
    <s v="ORD-0154"/>
    <x v="106"/>
    <s v="Customer 039"/>
    <x v="3"/>
    <s v="Furniture"/>
    <x v="1"/>
    <n v="7"/>
    <n v="0.05"/>
    <x v="56"/>
    <n v="2181.3000000000002"/>
  </r>
  <r>
    <s v="ORD-0155"/>
    <x v="108"/>
    <s v="Customer 046"/>
    <x v="2"/>
    <s v="Furniture"/>
    <x v="2"/>
    <n v="2"/>
    <n v="0"/>
    <x v="11"/>
    <n v="708.31"/>
  </r>
  <r>
    <s v="ORD-0156"/>
    <x v="83"/>
    <s v="Customer 085"/>
    <x v="3"/>
    <s v="Furniture"/>
    <x v="4"/>
    <n v="5"/>
    <n v="0"/>
    <x v="68"/>
    <n v="2484.27"/>
  </r>
  <r>
    <s v="ORD-0157"/>
    <x v="81"/>
    <s v="Customer 037"/>
    <x v="3"/>
    <s v="Furniture"/>
    <x v="1"/>
    <n v="1"/>
    <n v="0.1"/>
    <x v="102"/>
    <n v="404.86"/>
  </r>
  <r>
    <s v="ORD-0158"/>
    <x v="109"/>
    <s v="Customer 087"/>
    <x v="5"/>
    <s v="Office Supplies"/>
    <x v="1"/>
    <n v="4"/>
    <n v="0"/>
    <x v="7"/>
    <n v="101.64"/>
  </r>
  <r>
    <s v="ORD-0159"/>
    <x v="110"/>
    <s v="Customer 005"/>
    <x v="0"/>
    <s v="Electronics"/>
    <x v="2"/>
    <n v="1"/>
    <n v="0.05"/>
    <x v="72"/>
    <n v="1723.89"/>
  </r>
  <r>
    <s v="ORD-0160"/>
    <x v="111"/>
    <s v="Customer 054"/>
    <x v="8"/>
    <s v="Furniture"/>
    <x v="1"/>
    <n v="2"/>
    <n v="0.05"/>
    <x v="52"/>
    <n v="965.56"/>
  </r>
  <r>
    <s v="ORD-0161"/>
    <x v="111"/>
    <s v="Customer 033"/>
    <x v="6"/>
    <s v="Electronics"/>
    <x v="4"/>
    <n v="6"/>
    <n v="0.05"/>
    <x v="103"/>
    <n v="1208.76"/>
  </r>
  <r>
    <s v="ORD-0162"/>
    <x v="112"/>
    <s v="Customer 019"/>
    <x v="3"/>
    <s v="Furniture"/>
    <x v="1"/>
    <n v="2"/>
    <n v="0.1"/>
    <x v="104"/>
    <n v="885.56"/>
  </r>
  <r>
    <s v="ORD-0163"/>
    <x v="113"/>
    <s v="Customer 002"/>
    <x v="2"/>
    <s v="Furniture"/>
    <x v="3"/>
    <n v="6"/>
    <n v="0"/>
    <x v="13"/>
    <n v="3053.27"/>
  </r>
  <r>
    <s v="ORD-0164"/>
    <x v="114"/>
    <s v="Customer 087"/>
    <x v="1"/>
    <s v="Office Supplies"/>
    <x v="3"/>
    <n v="8"/>
    <n v="0.05"/>
    <x v="90"/>
    <n v="134.43"/>
  </r>
  <r>
    <s v="ORD-0165"/>
    <x v="72"/>
    <s v="Customer 061"/>
    <x v="5"/>
    <s v="Office Supplies"/>
    <x v="0"/>
    <n v="6"/>
    <n v="0"/>
    <x v="105"/>
    <n v="159.46"/>
  </r>
  <r>
    <s v="ORD-0166"/>
    <x v="48"/>
    <s v="Customer 082"/>
    <x v="5"/>
    <s v="Office Supplies"/>
    <x v="4"/>
    <n v="6"/>
    <n v="0"/>
    <x v="105"/>
    <n v="155.94"/>
  </r>
  <r>
    <s v="ORD-0167"/>
    <x v="32"/>
    <s v="Customer 005"/>
    <x v="3"/>
    <s v="Furniture"/>
    <x v="3"/>
    <n v="7"/>
    <n v="0"/>
    <x v="13"/>
    <n v="1577.01"/>
  </r>
  <r>
    <s v="ORD-0168"/>
    <x v="115"/>
    <s v="Customer 018"/>
    <x v="7"/>
    <s v="Office Supplies"/>
    <x v="4"/>
    <n v="2"/>
    <n v="0"/>
    <x v="70"/>
    <n v="1454.36"/>
  </r>
  <r>
    <s v="ORD-0169"/>
    <x v="9"/>
    <s v="Customer 084"/>
    <x v="7"/>
    <s v="Office Supplies"/>
    <x v="0"/>
    <n v="7"/>
    <n v="0"/>
    <x v="43"/>
    <n v="5083.74"/>
  </r>
  <r>
    <s v="ORD-0170"/>
    <x v="78"/>
    <s v="Customer 048"/>
    <x v="7"/>
    <s v="Office Supplies"/>
    <x v="1"/>
    <n v="7"/>
    <n v="0.05"/>
    <x v="74"/>
    <n v="1971.65"/>
  </r>
  <r>
    <s v="ORD-0171"/>
    <x v="116"/>
    <s v="Customer 088"/>
    <x v="7"/>
    <s v="Office Supplies"/>
    <x v="3"/>
    <n v="4"/>
    <n v="0.05"/>
    <x v="106"/>
    <n v="1254.28"/>
  </r>
  <r>
    <s v="ORD-0172"/>
    <x v="117"/>
    <s v="Customer 025"/>
    <x v="1"/>
    <s v="Office Supplies"/>
    <x v="0"/>
    <n v="6"/>
    <n v="0"/>
    <x v="7"/>
    <n v="82.4"/>
  </r>
  <r>
    <s v="ORD-0173"/>
    <x v="5"/>
    <s v="Customer 043"/>
    <x v="7"/>
    <s v="Office Supplies"/>
    <x v="1"/>
    <n v="4"/>
    <n v="0"/>
    <x v="59"/>
    <n v="1221.97"/>
  </r>
  <r>
    <s v="ORD-0174"/>
    <x v="76"/>
    <s v="Customer 071"/>
    <x v="4"/>
    <s v="Electronics"/>
    <x v="1"/>
    <n v="4"/>
    <n v="0"/>
    <x v="33"/>
    <n v="4189.37"/>
  </r>
  <r>
    <s v="ORD-0175"/>
    <x v="118"/>
    <s v="Customer 077"/>
    <x v="5"/>
    <s v="Office Supplies"/>
    <x v="0"/>
    <n v="4"/>
    <n v="0.05"/>
    <x v="107"/>
    <n v="109.16"/>
  </r>
  <r>
    <s v="ORD-0176"/>
    <x v="119"/>
    <s v="Customer 015"/>
    <x v="3"/>
    <s v="Furniture"/>
    <x v="0"/>
    <n v="3"/>
    <n v="0.05"/>
    <x v="39"/>
    <n v="1250.3499999999999"/>
  </r>
  <r>
    <s v="ORD-0177"/>
    <x v="86"/>
    <s v="Customer 003"/>
    <x v="4"/>
    <s v="Electronics"/>
    <x v="1"/>
    <n v="6"/>
    <n v="0"/>
    <x v="9"/>
    <n v="5191.04"/>
  </r>
  <r>
    <s v="ORD-0178"/>
    <x v="85"/>
    <s v="Customer 096"/>
    <x v="3"/>
    <s v="Furniture"/>
    <x v="0"/>
    <n v="3"/>
    <n v="0.1"/>
    <x v="108"/>
    <n v="946.22"/>
  </r>
  <r>
    <s v="ORD-0179"/>
    <x v="120"/>
    <s v="Customer 029"/>
    <x v="7"/>
    <s v="Office Supplies"/>
    <x v="2"/>
    <n v="6"/>
    <n v="0"/>
    <x v="33"/>
    <n v="3046.86"/>
  </r>
  <r>
    <s v="ORD-0180"/>
    <x v="51"/>
    <s v="Customer 004"/>
    <x v="9"/>
    <s v="Electronics"/>
    <x v="0"/>
    <n v="5"/>
    <n v="0.1"/>
    <x v="95"/>
    <n v="11653.27"/>
  </r>
  <r>
    <s v="ORD-0181"/>
    <x v="24"/>
    <s v="Customer 057"/>
    <x v="7"/>
    <s v="Office Supplies"/>
    <x v="0"/>
    <n v="7"/>
    <n v="0"/>
    <x v="43"/>
    <n v="3689.67"/>
  </r>
  <r>
    <s v="ORD-0182"/>
    <x v="79"/>
    <s v="Customer 080"/>
    <x v="0"/>
    <s v="Electronics"/>
    <x v="2"/>
    <n v="3"/>
    <n v="0"/>
    <x v="109"/>
    <n v="2761.08"/>
  </r>
  <r>
    <s v="ORD-0183"/>
    <x v="121"/>
    <s v="Customer 078"/>
    <x v="1"/>
    <s v="Office Supplies"/>
    <x v="4"/>
    <n v="7"/>
    <n v="0.05"/>
    <x v="110"/>
    <n v="96.65"/>
  </r>
  <r>
    <s v="ORD-0184"/>
    <x v="83"/>
    <s v="Customer 030"/>
    <x v="0"/>
    <s v="Electronics"/>
    <x v="4"/>
    <n v="2"/>
    <n v="0"/>
    <x v="37"/>
    <n v="2661.19"/>
  </r>
  <r>
    <s v="ORD-0185"/>
    <x v="95"/>
    <s v="Customer 041"/>
    <x v="8"/>
    <s v="Furniture"/>
    <x v="4"/>
    <n v="7"/>
    <n v="0.1"/>
    <x v="96"/>
    <n v="4663.62"/>
  </r>
  <r>
    <s v="ORD-0186"/>
    <x v="122"/>
    <s v="Customer 088"/>
    <x v="8"/>
    <s v="Furniture"/>
    <x v="4"/>
    <n v="5"/>
    <n v="0.05"/>
    <x v="111"/>
    <n v="4129.03"/>
  </r>
  <r>
    <s v="ORD-0187"/>
    <x v="5"/>
    <s v="Customer 096"/>
    <x v="0"/>
    <s v="Electronics"/>
    <x v="3"/>
    <n v="2"/>
    <n v="0"/>
    <x v="37"/>
    <n v="2666.07"/>
  </r>
  <r>
    <s v="ORD-0188"/>
    <x v="113"/>
    <s v="Customer 053"/>
    <x v="4"/>
    <s v="Electronics"/>
    <x v="3"/>
    <n v="1"/>
    <n v="0.05"/>
    <x v="112"/>
    <n v="880.2"/>
  </r>
  <r>
    <s v="ORD-0189"/>
    <x v="85"/>
    <s v="Customer 074"/>
    <x v="2"/>
    <s v="Furniture"/>
    <x v="2"/>
    <n v="5"/>
    <n v="0.05"/>
    <x v="113"/>
    <n v="1628.88"/>
  </r>
  <r>
    <s v="ORD-0190"/>
    <x v="19"/>
    <s v="Customer 045"/>
    <x v="6"/>
    <s v="Electronics"/>
    <x v="2"/>
    <n v="8"/>
    <n v="0"/>
    <x v="114"/>
    <n v="1717.06"/>
  </r>
  <r>
    <s v="ORD-0191"/>
    <x v="115"/>
    <s v="Customer 072"/>
    <x v="8"/>
    <s v="Furniture"/>
    <x v="2"/>
    <n v="5"/>
    <n v="0"/>
    <x v="79"/>
    <n v="3924.8"/>
  </r>
  <r>
    <s v="ORD-0192"/>
    <x v="29"/>
    <s v="Customer 035"/>
    <x v="5"/>
    <s v="Office Supplies"/>
    <x v="3"/>
    <n v="1"/>
    <n v="0.05"/>
    <x v="35"/>
    <n v="11.99"/>
  </r>
  <r>
    <s v="ORD-0193"/>
    <x v="41"/>
    <s v="Customer 073"/>
    <x v="8"/>
    <s v="Furniture"/>
    <x v="4"/>
    <n v="1"/>
    <n v="0"/>
    <x v="115"/>
    <n v="821.04"/>
  </r>
  <r>
    <s v="ORD-0194"/>
    <x v="91"/>
    <s v="Customer 028"/>
    <x v="0"/>
    <s v="Electronics"/>
    <x v="4"/>
    <n v="1"/>
    <n v="0"/>
    <x v="83"/>
    <n v="1757.25"/>
  </r>
  <r>
    <s v="ORD-0195"/>
    <x v="95"/>
    <s v="Customer 093"/>
    <x v="2"/>
    <s v="Furniture"/>
    <x v="3"/>
    <n v="6"/>
    <n v="0"/>
    <x v="13"/>
    <n v="2099.2800000000002"/>
  </r>
  <r>
    <s v="ORD-0196"/>
    <x v="37"/>
    <s v="Customer 097"/>
    <x v="5"/>
    <s v="Office Supplies"/>
    <x v="2"/>
    <n v="2"/>
    <n v="0"/>
    <x v="36"/>
    <n v="30.72"/>
  </r>
  <r>
    <s v="ORD-0197"/>
    <x v="29"/>
    <s v="Customer 055"/>
    <x v="9"/>
    <s v="Electronics"/>
    <x v="4"/>
    <n v="2"/>
    <n v="0.05"/>
    <x v="91"/>
    <n v="4098.54"/>
  </r>
  <r>
    <s v="ORD-0198"/>
    <x v="116"/>
    <s v="Customer 066"/>
    <x v="5"/>
    <s v="Office Supplies"/>
    <x v="0"/>
    <n v="7"/>
    <n v="0.05"/>
    <x v="14"/>
    <n v="110.76"/>
  </r>
  <r>
    <s v="ORD-0199"/>
    <x v="56"/>
    <s v="Customer 076"/>
    <x v="8"/>
    <s v="Furniture"/>
    <x v="4"/>
    <n v="2"/>
    <n v="0.05"/>
    <x v="52"/>
    <n v="1350.24"/>
  </r>
  <r>
    <s v="ORD-0200"/>
    <x v="122"/>
    <s v="Customer 077"/>
    <x v="1"/>
    <s v="Office Supplies"/>
    <x v="0"/>
    <n v="5"/>
    <n v="0"/>
    <x v="38"/>
    <n v="55.88"/>
  </r>
  <r>
    <s v="ORD-0201"/>
    <x v="123"/>
    <s v="Customer 098"/>
    <x v="9"/>
    <s v="Electronics"/>
    <x v="3"/>
    <n v="5"/>
    <n v="0"/>
    <x v="80"/>
    <n v="14287.37"/>
  </r>
  <r>
    <s v="ORD-0202"/>
    <x v="121"/>
    <s v="Customer 056"/>
    <x v="3"/>
    <s v="Furniture"/>
    <x v="1"/>
    <n v="2"/>
    <n v="0"/>
    <x v="85"/>
    <n v="682.31"/>
  </r>
  <r>
    <s v="ORD-0203"/>
    <x v="72"/>
    <s v="Customer 095"/>
    <x v="4"/>
    <s v="Electronics"/>
    <x v="0"/>
    <n v="4"/>
    <n v="0.05"/>
    <x v="3"/>
    <n v="1803.06"/>
  </r>
  <r>
    <s v="ORD-0204"/>
    <x v="124"/>
    <s v="Customer 074"/>
    <x v="2"/>
    <s v="Furniture"/>
    <x v="4"/>
    <n v="8"/>
    <n v="0"/>
    <x v="33"/>
    <n v="4287.0200000000004"/>
  </r>
  <r>
    <s v="ORD-0205"/>
    <x v="125"/>
    <s v="Customer 003"/>
    <x v="5"/>
    <s v="Office Supplies"/>
    <x v="3"/>
    <n v="7"/>
    <n v="0.05"/>
    <x v="14"/>
    <n v="96.34"/>
  </r>
  <r>
    <s v="ORD-0206"/>
    <x v="105"/>
    <s v="Customer 014"/>
    <x v="4"/>
    <s v="Electronics"/>
    <x v="1"/>
    <n v="8"/>
    <n v="0.05"/>
    <x v="116"/>
    <n v="3698.36"/>
  </r>
  <r>
    <s v="ORD-0207"/>
    <x v="84"/>
    <s v="Customer 040"/>
    <x v="2"/>
    <s v="Furniture"/>
    <x v="3"/>
    <n v="7"/>
    <n v="0"/>
    <x v="117"/>
    <n v="2517.1999999999998"/>
  </r>
  <r>
    <s v="ORD-0208"/>
    <x v="126"/>
    <s v="Customer 015"/>
    <x v="6"/>
    <s v="Electronics"/>
    <x v="2"/>
    <n v="3"/>
    <n v="0"/>
    <x v="46"/>
    <n v="489.31"/>
  </r>
  <r>
    <s v="ORD-0209"/>
    <x v="30"/>
    <s v="Customer 083"/>
    <x v="1"/>
    <s v="Office Supplies"/>
    <x v="1"/>
    <n v="6"/>
    <n v="0.05"/>
    <x v="107"/>
    <n v="105.3"/>
  </r>
  <r>
    <s v="ORD-0210"/>
    <x v="127"/>
    <s v="Customer 078"/>
    <x v="6"/>
    <s v="Electronics"/>
    <x v="1"/>
    <n v="3"/>
    <n v="0.05"/>
    <x v="92"/>
    <n v="328.27"/>
  </r>
  <r>
    <s v="ORD-0211"/>
    <x v="18"/>
    <s v="Customer 098"/>
    <x v="0"/>
    <s v="Electronics"/>
    <x v="2"/>
    <n v="8"/>
    <n v="0.1"/>
    <x v="95"/>
    <n v="12733.21"/>
  </r>
  <r>
    <s v="ORD-0212"/>
    <x v="128"/>
    <s v="Customer 009"/>
    <x v="7"/>
    <s v="Office Supplies"/>
    <x v="4"/>
    <n v="6"/>
    <n v="0.05"/>
    <x v="3"/>
    <n v="2029.67"/>
  </r>
  <r>
    <s v="ORD-0213"/>
    <x v="129"/>
    <s v="Customer 046"/>
    <x v="7"/>
    <s v="Office Supplies"/>
    <x v="2"/>
    <n v="5"/>
    <n v="0.05"/>
    <x v="118"/>
    <n v="2745.86"/>
  </r>
  <r>
    <s v="ORD-0214"/>
    <x v="74"/>
    <s v="Customer 048"/>
    <x v="0"/>
    <s v="Electronics"/>
    <x v="3"/>
    <n v="8"/>
    <n v="0.1"/>
    <x v="95"/>
    <n v="5765.54"/>
  </r>
  <r>
    <s v="ORD-0215"/>
    <x v="117"/>
    <s v="Customer 071"/>
    <x v="0"/>
    <s v="Electronics"/>
    <x v="0"/>
    <n v="2"/>
    <n v="0.1"/>
    <x v="84"/>
    <n v="2474.39"/>
  </r>
  <r>
    <s v="ORD-0216"/>
    <x v="102"/>
    <s v="Customer 065"/>
    <x v="7"/>
    <s v="Office Supplies"/>
    <x v="1"/>
    <n v="4"/>
    <n v="0.05"/>
    <x v="106"/>
    <n v="2222.71"/>
  </r>
  <r>
    <s v="ORD-0217"/>
    <x v="130"/>
    <s v="Customer 011"/>
    <x v="9"/>
    <s v="Electronics"/>
    <x v="2"/>
    <n v="2"/>
    <n v="0.05"/>
    <x v="91"/>
    <n v="6311.71"/>
  </r>
  <r>
    <s v="ORD-0218"/>
    <x v="47"/>
    <s v="Customer 068"/>
    <x v="4"/>
    <s v="Electronics"/>
    <x v="2"/>
    <n v="4"/>
    <n v="0.1"/>
    <x v="62"/>
    <n v="4209.07"/>
  </r>
  <r>
    <s v="ORD-0219"/>
    <x v="131"/>
    <s v="Customer 050"/>
    <x v="5"/>
    <s v="Office Supplies"/>
    <x v="4"/>
    <n v="6"/>
    <n v="0.05"/>
    <x v="119"/>
    <n v="181.42"/>
  </r>
  <r>
    <s v="ORD-0220"/>
    <x v="107"/>
    <s v="Customer 013"/>
    <x v="8"/>
    <s v="Furniture"/>
    <x v="2"/>
    <n v="1"/>
    <n v="0.05"/>
    <x v="120"/>
    <n v="340.07"/>
  </r>
  <r>
    <s v="ORD-0221"/>
    <x v="100"/>
    <s v="Customer 075"/>
    <x v="2"/>
    <s v="Furniture"/>
    <x v="1"/>
    <n v="5"/>
    <n v="0"/>
    <x v="4"/>
    <n v="1680.05"/>
  </r>
  <r>
    <s v="ORD-0222"/>
    <x v="74"/>
    <s v="Customer 011"/>
    <x v="8"/>
    <s v="Furniture"/>
    <x v="3"/>
    <n v="7"/>
    <n v="0"/>
    <x v="45"/>
    <n v="4639.21"/>
  </r>
  <r>
    <s v="ORD-0223"/>
    <x v="132"/>
    <s v="Customer 095"/>
    <x v="1"/>
    <s v="Office Supplies"/>
    <x v="2"/>
    <n v="6"/>
    <n v="0"/>
    <x v="7"/>
    <n v="105.9"/>
  </r>
  <r>
    <s v="ORD-0224"/>
    <x v="117"/>
    <s v="Customer 040"/>
    <x v="0"/>
    <s v="Electronics"/>
    <x v="1"/>
    <n v="7"/>
    <n v="0.05"/>
    <x v="63"/>
    <n v="5151.16"/>
  </r>
  <r>
    <s v="ORD-0225"/>
    <x v="4"/>
    <s v="Customer 018"/>
    <x v="6"/>
    <s v="Electronics"/>
    <x v="1"/>
    <n v="8"/>
    <n v="0"/>
    <x v="114"/>
    <n v="957.29"/>
  </r>
  <r>
    <s v="ORD-0226"/>
    <x v="7"/>
    <s v="Customer 099"/>
    <x v="0"/>
    <s v="Electronics"/>
    <x v="2"/>
    <n v="2"/>
    <n v="0"/>
    <x v="37"/>
    <n v="3287.21"/>
  </r>
  <r>
    <s v="ORD-0227"/>
    <x v="37"/>
    <s v="Customer 089"/>
    <x v="4"/>
    <s v="Electronics"/>
    <x v="2"/>
    <n v="7"/>
    <n v="0"/>
    <x v="100"/>
    <n v="3798.61"/>
  </r>
  <r>
    <s v="ORD-0228"/>
    <x v="97"/>
    <s v="Customer 093"/>
    <x v="4"/>
    <s v="Electronics"/>
    <x v="1"/>
    <n v="1"/>
    <n v="0.1"/>
    <x v="121"/>
    <n v="625.87"/>
  </r>
  <r>
    <s v="ORD-0229"/>
    <x v="133"/>
    <s v="Customer 031"/>
    <x v="7"/>
    <s v="Office Supplies"/>
    <x v="3"/>
    <n v="5"/>
    <n v="0.1"/>
    <x v="13"/>
    <n v="1790.72"/>
  </r>
  <r>
    <s v="ORD-0230"/>
    <x v="30"/>
    <s v="Customer 037"/>
    <x v="7"/>
    <s v="Office Supplies"/>
    <x v="4"/>
    <n v="6"/>
    <n v="0.1"/>
    <x v="62"/>
    <n v="2768.51"/>
  </r>
  <r>
    <s v="ORD-0231"/>
    <x v="36"/>
    <s v="Customer 078"/>
    <x v="1"/>
    <s v="Office Supplies"/>
    <x v="1"/>
    <n v="7"/>
    <n v="0"/>
    <x v="1"/>
    <n v="138.34"/>
  </r>
  <r>
    <s v="ORD-0232"/>
    <x v="85"/>
    <s v="Customer 014"/>
    <x v="3"/>
    <s v="Furniture"/>
    <x v="2"/>
    <n v="8"/>
    <n v="0.05"/>
    <x v="122"/>
    <n v="2733.5"/>
  </r>
  <r>
    <s v="ORD-0233"/>
    <x v="100"/>
    <s v="Customer 066"/>
    <x v="0"/>
    <s v="Electronics"/>
    <x v="1"/>
    <n v="2"/>
    <n v="0"/>
    <x v="37"/>
    <n v="2236.54"/>
  </r>
  <r>
    <s v="ORD-0234"/>
    <x v="5"/>
    <s v="Customer 004"/>
    <x v="2"/>
    <s v="Furniture"/>
    <x v="4"/>
    <n v="4"/>
    <n v="0.1"/>
    <x v="93"/>
    <n v="1959.8"/>
  </r>
  <r>
    <s v="ORD-0235"/>
    <x v="39"/>
    <s v="Customer 011"/>
    <x v="9"/>
    <s v="Electronics"/>
    <x v="3"/>
    <n v="6"/>
    <n v="0"/>
    <x v="42"/>
    <n v="12204.71"/>
  </r>
  <r>
    <s v="ORD-0236"/>
    <x v="134"/>
    <s v="Customer 084"/>
    <x v="6"/>
    <s v="Electronics"/>
    <x v="3"/>
    <n v="6"/>
    <n v="0"/>
    <x v="19"/>
    <n v="1280.3599999999999"/>
  </r>
  <r>
    <s v="ORD-0237"/>
    <x v="135"/>
    <s v="Customer 061"/>
    <x v="4"/>
    <s v="Electronics"/>
    <x v="1"/>
    <n v="1"/>
    <n v="0.05"/>
    <x v="112"/>
    <n v="1057.8699999999999"/>
  </r>
  <r>
    <s v="ORD-0238"/>
    <x v="120"/>
    <s v="Customer 028"/>
    <x v="7"/>
    <s v="Office Supplies"/>
    <x v="1"/>
    <n v="1"/>
    <n v="0"/>
    <x v="15"/>
    <n v="289.58"/>
  </r>
  <r>
    <s v="ORD-0239"/>
    <x v="23"/>
    <s v="Customer 031"/>
    <x v="1"/>
    <s v="Office Supplies"/>
    <x v="3"/>
    <n v="7"/>
    <n v="0"/>
    <x v="1"/>
    <n v="134.24"/>
  </r>
  <r>
    <s v="ORD-0240"/>
    <x v="63"/>
    <s v="Customer 080"/>
    <x v="0"/>
    <s v="Electronics"/>
    <x v="4"/>
    <n v="4"/>
    <n v="0.1"/>
    <x v="123"/>
    <n v="5805.31"/>
  </r>
  <r>
    <s v="ORD-0241"/>
    <x v="17"/>
    <s v="Customer 074"/>
    <x v="0"/>
    <s v="Electronics"/>
    <x v="1"/>
    <n v="8"/>
    <n v="0"/>
    <x v="80"/>
    <n v="12825.11"/>
  </r>
  <r>
    <s v="ORD-0242"/>
    <x v="98"/>
    <s v="Customer 031"/>
    <x v="4"/>
    <s v="Electronics"/>
    <x v="2"/>
    <n v="7"/>
    <n v="0"/>
    <x v="100"/>
    <n v="6193.57"/>
  </r>
  <r>
    <s v="ORD-0243"/>
    <x v="136"/>
    <s v="Customer 068"/>
    <x v="2"/>
    <s v="Furniture"/>
    <x v="2"/>
    <n v="2"/>
    <n v="0.05"/>
    <x v="112"/>
    <n v="447.61"/>
  </r>
  <r>
    <s v="ORD-0244"/>
    <x v="57"/>
    <s v="Customer 006"/>
    <x v="1"/>
    <s v="Office Supplies"/>
    <x v="4"/>
    <n v="1"/>
    <n v="0.1"/>
    <x v="124"/>
    <n v="18.52"/>
  </r>
  <r>
    <s v="ORD-0245"/>
    <x v="87"/>
    <s v="Customer 045"/>
    <x v="8"/>
    <s v="Furniture"/>
    <x v="1"/>
    <n v="1"/>
    <n v="0.05"/>
    <x v="120"/>
    <n v="735.48"/>
  </r>
  <r>
    <s v="ORD-0246"/>
    <x v="53"/>
    <s v="Customer 070"/>
    <x v="0"/>
    <s v="Electronics"/>
    <x v="3"/>
    <n v="6"/>
    <n v="0"/>
    <x v="26"/>
    <n v="4859.12"/>
  </r>
  <r>
    <s v="ORD-0247"/>
    <x v="137"/>
    <s v="Customer 018"/>
    <x v="4"/>
    <s v="Electronics"/>
    <x v="0"/>
    <n v="8"/>
    <n v="0.1"/>
    <x v="125"/>
    <n v="6462.66"/>
  </r>
  <r>
    <s v="ORD-0248"/>
    <x v="46"/>
    <s v="Customer 026"/>
    <x v="7"/>
    <s v="Office Supplies"/>
    <x v="0"/>
    <n v="5"/>
    <n v="0"/>
    <x v="126"/>
    <n v="1510.39"/>
  </r>
  <r>
    <s v="ORD-0249"/>
    <x v="74"/>
    <s v="Customer 097"/>
    <x v="8"/>
    <s v="Furniture"/>
    <x v="1"/>
    <n v="7"/>
    <n v="0.1"/>
    <x v="96"/>
    <n v="2935.22"/>
  </r>
  <r>
    <s v="ORD-0250"/>
    <x v="138"/>
    <s v="Customer 048"/>
    <x v="3"/>
    <s v="Furniture"/>
    <x v="4"/>
    <n v="1"/>
    <n v="0.05"/>
    <x v="127"/>
    <n v="255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4" firstHeaderRow="1" firstDataRow="1" firstDataCol="1"/>
  <pivotFields count="10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11">
        <item x="2"/>
        <item x="8"/>
        <item x="6"/>
        <item x="9"/>
        <item x="4"/>
        <item x="1"/>
        <item x="3"/>
        <item x="5"/>
        <item x="7"/>
        <item x="0"/>
        <item t="default"/>
      </items>
    </pivotField>
    <pivotField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9" firstHeaderRow="1" firstDataRow="1" firstDataCol="1"/>
  <pivotFields count="10"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dataField="1" showAll="0">
      <items count="129">
        <item x="124"/>
        <item x="2"/>
        <item x="66"/>
        <item x="35"/>
        <item x="25"/>
        <item x="18"/>
        <item x="99"/>
        <item x="22"/>
        <item x="36"/>
        <item x="54"/>
        <item x="75"/>
        <item x="10"/>
        <item x="38"/>
        <item x="60"/>
        <item x="107"/>
        <item x="7"/>
        <item x="110"/>
        <item x="55"/>
        <item x="1"/>
        <item x="76"/>
        <item x="89"/>
        <item x="90"/>
        <item x="119"/>
        <item x="105"/>
        <item x="16"/>
        <item x="14"/>
        <item x="88"/>
        <item x="28"/>
        <item x="24"/>
        <item x="102"/>
        <item x="78"/>
        <item x="127"/>
        <item x="17"/>
        <item x="65"/>
        <item x="27"/>
        <item x="92"/>
        <item x="46"/>
        <item x="15"/>
        <item x="120"/>
        <item x="30"/>
        <item x="115"/>
        <item x="104"/>
        <item x="21"/>
        <item x="85"/>
        <item x="121"/>
        <item x="112"/>
        <item x="11"/>
        <item x="103"/>
        <item x="108"/>
        <item x="31"/>
        <item x="19"/>
        <item x="39"/>
        <item x="101"/>
        <item x="70"/>
        <item x="50"/>
        <item x="64"/>
        <item x="52"/>
        <item x="12"/>
        <item x="47"/>
        <item x="114"/>
        <item x="72"/>
        <item x="8"/>
        <item x="83"/>
        <item x="93"/>
        <item x="97"/>
        <item x="53"/>
        <item x="40"/>
        <item x="68"/>
        <item x="23"/>
        <item x="113"/>
        <item x="58"/>
        <item x="4"/>
        <item x="106"/>
        <item x="67"/>
        <item x="59"/>
        <item x="56"/>
        <item x="32"/>
        <item x="57"/>
        <item x="13"/>
        <item x="73"/>
        <item x="118"/>
        <item x="84"/>
        <item x="122"/>
        <item x="34"/>
        <item x="126"/>
        <item x="6"/>
        <item x="117"/>
        <item x="37"/>
        <item x="62"/>
        <item x="111"/>
        <item x="3"/>
        <item x="79"/>
        <item x="33"/>
        <item x="74"/>
        <item x="94"/>
        <item x="44"/>
        <item x="43"/>
        <item x="96"/>
        <item x="41"/>
        <item x="49"/>
        <item x="45"/>
        <item x="109"/>
        <item x="91"/>
        <item x="29"/>
        <item x="77"/>
        <item x="9"/>
        <item x="86"/>
        <item x="123"/>
        <item x="61"/>
        <item x="100"/>
        <item x="125"/>
        <item x="116"/>
        <item x="81"/>
        <item x="98"/>
        <item x="0"/>
        <item x="48"/>
        <item x="26"/>
        <item x="69"/>
        <item x="63"/>
        <item x="5"/>
        <item x="95"/>
        <item x="87"/>
        <item x="80"/>
        <item x="20"/>
        <item x="42"/>
        <item x="71"/>
        <item x="51"/>
        <item x="82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1:B9" firstHeaderRow="1" firstDataRow="1" firstDataCol="1"/>
  <pivotFields count="10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B9" firstHeaderRow="1" firstDataRow="1" firstDataCol="1"/>
  <pivotFields count="10">
    <pivotField showAll="0"/>
    <pivotField numFmtId="164"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9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14" firstHeaderRow="1" firstDataRow="1" firstDataCol="1"/>
  <pivotFields count="10">
    <pivotField showAll="0"/>
    <pivotField numFmtId="164" showAll="0"/>
    <pivotField showAll="0"/>
    <pivotField axis="axisRow" showAll="0">
      <items count="11">
        <item x="2"/>
        <item x="8"/>
        <item x="6"/>
        <item x="9"/>
        <item x="4"/>
        <item x="1"/>
        <item x="3"/>
        <item x="5"/>
        <item x="7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11" firstHeaderRow="1" firstDataRow="1" firstDataCol="1"/>
  <pivotFields count="10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9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M17" sqref="M17"/>
    </sheetView>
  </sheetViews>
  <sheetFormatPr defaultRowHeight="15" x14ac:dyDescent="0.25"/>
  <cols>
    <col min="1" max="1" width="13.140625" customWidth="1"/>
    <col min="2" max="2" width="12.140625" customWidth="1"/>
    <col min="3" max="3" width="12.5703125" bestFit="1" customWidth="1"/>
  </cols>
  <sheetData>
    <row r="3" spans="1:2" x14ac:dyDescent="0.25">
      <c r="A3" s="3" t="s">
        <v>375</v>
      </c>
      <c r="B3" t="s">
        <v>377</v>
      </c>
    </row>
    <row r="4" spans="1:2" x14ac:dyDescent="0.25">
      <c r="A4" s="4" t="s">
        <v>25</v>
      </c>
      <c r="B4" s="5">
        <v>214305</v>
      </c>
    </row>
    <row r="5" spans="1:2" x14ac:dyDescent="0.25">
      <c r="A5" s="4" t="s">
        <v>62</v>
      </c>
      <c r="B5" s="5">
        <v>314400</v>
      </c>
    </row>
    <row r="6" spans="1:2" x14ac:dyDescent="0.25">
      <c r="A6" s="4" t="s">
        <v>49</v>
      </c>
      <c r="B6" s="5">
        <v>79730</v>
      </c>
    </row>
    <row r="7" spans="1:2" x14ac:dyDescent="0.25">
      <c r="A7" s="4" t="s">
        <v>69</v>
      </c>
      <c r="B7" s="5">
        <v>1281000</v>
      </c>
    </row>
    <row r="8" spans="1:2" x14ac:dyDescent="0.25">
      <c r="A8" s="4" t="s">
        <v>40</v>
      </c>
      <c r="B8" s="5">
        <v>422940</v>
      </c>
    </row>
    <row r="9" spans="1:2" x14ac:dyDescent="0.25">
      <c r="A9" s="4" t="s">
        <v>17</v>
      </c>
      <c r="B9" s="5">
        <v>12740</v>
      </c>
    </row>
    <row r="10" spans="1:2" x14ac:dyDescent="0.25">
      <c r="A10" s="4" t="s">
        <v>34</v>
      </c>
      <c r="B10" s="5">
        <v>237150</v>
      </c>
    </row>
    <row r="11" spans="1:2" x14ac:dyDescent="0.25">
      <c r="A11" s="4" t="s">
        <v>42</v>
      </c>
      <c r="B11" s="5">
        <v>10926</v>
      </c>
    </row>
    <row r="12" spans="1:2" x14ac:dyDescent="0.25">
      <c r="A12" s="4" t="s">
        <v>57</v>
      </c>
      <c r="B12" s="5">
        <v>367640</v>
      </c>
    </row>
    <row r="13" spans="1:2" x14ac:dyDescent="0.25">
      <c r="A13" s="4" t="s">
        <v>12</v>
      </c>
      <c r="B13" s="5">
        <v>889875</v>
      </c>
    </row>
    <row r="14" spans="1:2" x14ac:dyDescent="0.25">
      <c r="A14" s="4" t="s">
        <v>376</v>
      </c>
      <c r="B14" s="5">
        <v>3830706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4" sqref="A4"/>
    </sheetView>
  </sheetViews>
  <sheetFormatPr defaultRowHeight="15" x14ac:dyDescent="0.25"/>
  <cols>
    <col min="1" max="1" width="14.140625" customWidth="1"/>
    <col min="2" max="2" width="12.140625" bestFit="1" customWidth="1"/>
  </cols>
  <sheetData>
    <row r="3" spans="1:2" x14ac:dyDescent="0.25">
      <c r="A3" s="3" t="s">
        <v>375</v>
      </c>
      <c r="B3" t="s">
        <v>377</v>
      </c>
    </row>
    <row r="4" spans="1:2" x14ac:dyDescent="0.25">
      <c r="A4" s="4" t="s">
        <v>50</v>
      </c>
      <c r="B4" s="5">
        <v>611361.5</v>
      </c>
    </row>
    <row r="5" spans="1:2" x14ac:dyDescent="0.25">
      <c r="A5" s="4" t="s">
        <v>22</v>
      </c>
      <c r="B5" s="5">
        <v>689688</v>
      </c>
    </row>
    <row r="6" spans="1:2" x14ac:dyDescent="0.25">
      <c r="A6" s="4" t="s">
        <v>19</v>
      </c>
      <c r="B6" s="5">
        <v>908436.5</v>
      </c>
    </row>
    <row r="7" spans="1:2" x14ac:dyDescent="0.25">
      <c r="A7" s="4" t="s">
        <v>14</v>
      </c>
      <c r="B7" s="5">
        <v>845328</v>
      </c>
    </row>
    <row r="8" spans="1:2" x14ac:dyDescent="0.25">
      <c r="A8" s="4" t="s">
        <v>29</v>
      </c>
      <c r="B8" s="5">
        <v>775892</v>
      </c>
    </row>
    <row r="9" spans="1:2" x14ac:dyDescent="0.25">
      <c r="A9" s="4" t="s">
        <v>376</v>
      </c>
      <c r="B9" s="5">
        <v>3830706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2" sqref="A2:B2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3" t="s">
        <v>375</v>
      </c>
      <c r="B1" t="s">
        <v>377</v>
      </c>
    </row>
    <row r="2" spans="1:2" x14ac:dyDescent="0.25">
      <c r="A2" s="6" t="s">
        <v>378</v>
      </c>
      <c r="B2" s="5">
        <v>929414.5</v>
      </c>
    </row>
    <row r="3" spans="1:2" x14ac:dyDescent="0.25">
      <c r="A3" s="6" t="s">
        <v>379</v>
      </c>
      <c r="B3" s="5">
        <v>329360</v>
      </c>
    </row>
    <row r="4" spans="1:2" x14ac:dyDescent="0.25">
      <c r="A4" s="6" t="s">
        <v>380</v>
      </c>
      <c r="B4" s="5">
        <v>802868</v>
      </c>
    </row>
    <row r="5" spans="1:2" x14ac:dyDescent="0.25">
      <c r="A5" s="6" t="s">
        <v>381</v>
      </c>
      <c r="B5" s="5">
        <v>528855</v>
      </c>
    </row>
    <row r="6" spans="1:2" x14ac:dyDescent="0.25">
      <c r="A6" s="6" t="s">
        <v>382</v>
      </c>
      <c r="B6" s="5">
        <v>409382</v>
      </c>
    </row>
    <row r="7" spans="1:2" x14ac:dyDescent="0.25">
      <c r="A7" s="6" t="s">
        <v>383</v>
      </c>
      <c r="B7" s="5">
        <v>744404</v>
      </c>
    </row>
    <row r="8" spans="1:2" x14ac:dyDescent="0.25">
      <c r="A8" s="6" t="s">
        <v>384</v>
      </c>
      <c r="B8" s="5">
        <v>86422.5</v>
      </c>
    </row>
    <row r="9" spans="1:2" x14ac:dyDescent="0.25">
      <c r="A9" s="6" t="s">
        <v>376</v>
      </c>
      <c r="B9" s="5">
        <v>3830706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4" sqref="A4"/>
    </sheetView>
  </sheetViews>
  <sheetFormatPr defaultRowHeight="15" x14ac:dyDescent="0.25"/>
  <cols>
    <col min="1" max="1" width="14.140625" bestFit="1" customWidth="1"/>
    <col min="2" max="2" width="12.5703125" bestFit="1" customWidth="1"/>
  </cols>
  <sheetData>
    <row r="3" spans="1:2" x14ac:dyDescent="0.25">
      <c r="A3" s="3" t="s">
        <v>375</v>
      </c>
      <c r="B3" t="s">
        <v>385</v>
      </c>
    </row>
    <row r="4" spans="1:2" x14ac:dyDescent="0.25">
      <c r="A4" s="4" t="s">
        <v>50</v>
      </c>
      <c r="B4" s="5">
        <v>124267.23</v>
      </c>
    </row>
    <row r="5" spans="1:2" x14ac:dyDescent="0.25">
      <c r="A5" s="4" t="s">
        <v>22</v>
      </c>
      <c r="B5" s="5">
        <v>130301.72000000002</v>
      </c>
    </row>
    <row r="6" spans="1:2" x14ac:dyDescent="0.25">
      <c r="A6" s="4" t="s">
        <v>19</v>
      </c>
      <c r="B6" s="5">
        <v>175460.10999999993</v>
      </c>
    </row>
    <row r="7" spans="1:2" x14ac:dyDescent="0.25">
      <c r="A7" s="4" t="s">
        <v>14</v>
      </c>
      <c r="B7" s="5">
        <v>179630.40000000002</v>
      </c>
    </row>
    <row r="8" spans="1:2" x14ac:dyDescent="0.25">
      <c r="A8" s="4" t="s">
        <v>29</v>
      </c>
      <c r="B8" s="5">
        <v>134489.19999999998</v>
      </c>
    </row>
    <row r="9" spans="1:2" x14ac:dyDescent="0.25">
      <c r="A9" s="4" t="s">
        <v>376</v>
      </c>
      <c r="B9" s="5">
        <v>744148.65999999992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375</v>
      </c>
      <c r="B3" t="s">
        <v>385</v>
      </c>
    </row>
    <row r="4" spans="1:2" x14ac:dyDescent="0.25">
      <c r="A4" s="4" t="s">
        <v>25</v>
      </c>
      <c r="B4" s="5">
        <v>44375.090000000011</v>
      </c>
    </row>
    <row r="5" spans="1:2" x14ac:dyDescent="0.25">
      <c r="A5" s="4" t="s">
        <v>62</v>
      </c>
      <c r="B5" s="5">
        <v>66244.069999999992</v>
      </c>
    </row>
    <row r="6" spans="1:2" x14ac:dyDescent="0.25">
      <c r="A6" s="4" t="s">
        <v>49</v>
      </c>
      <c r="B6" s="5">
        <v>15632.55</v>
      </c>
    </row>
    <row r="7" spans="1:2" x14ac:dyDescent="0.25">
      <c r="A7" s="4" t="s">
        <v>69</v>
      </c>
      <c r="B7" s="5">
        <v>260801.64999999997</v>
      </c>
    </row>
    <row r="8" spans="1:2" x14ac:dyDescent="0.25">
      <c r="A8" s="4" t="s">
        <v>40</v>
      </c>
      <c r="B8" s="5">
        <v>78850.300000000017</v>
      </c>
    </row>
    <row r="9" spans="1:2" x14ac:dyDescent="0.25">
      <c r="A9" s="4" t="s">
        <v>17</v>
      </c>
      <c r="B9" s="5">
        <v>2406.4100000000012</v>
      </c>
    </row>
    <row r="10" spans="1:2" x14ac:dyDescent="0.25">
      <c r="A10" s="4" t="s">
        <v>34</v>
      </c>
      <c r="B10" s="5">
        <v>44326.29</v>
      </c>
    </row>
    <row r="11" spans="1:2" x14ac:dyDescent="0.25">
      <c r="A11" s="4" t="s">
        <v>42</v>
      </c>
      <c r="B11" s="5">
        <v>2021.3200000000002</v>
      </c>
    </row>
    <row r="12" spans="1:2" x14ac:dyDescent="0.25">
      <c r="A12" s="4" t="s">
        <v>57</v>
      </c>
      <c r="B12" s="5">
        <v>63257.320000000007</v>
      </c>
    </row>
    <row r="13" spans="1:2" x14ac:dyDescent="0.25">
      <c r="A13" s="4" t="s">
        <v>12</v>
      </c>
      <c r="B13" s="5">
        <v>166233.65999999997</v>
      </c>
    </row>
    <row r="14" spans="1:2" x14ac:dyDescent="0.25">
      <c r="A14" s="4" t="s">
        <v>376</v>
      </c>
      <c r="B14" s="5">
        <v>744148.65999999992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375</v>
      </c>
      <c r="B3" t="s">
        <v>385</v>
      </c>
    </row>
    <row r="4" spans="1:2" x14ac:dyDescent="0.25">
      <c r="A4" s="6" t="s">
        <v>378</v>
      </c>
      <c r="B4" s="5">
        <v>175781.68999999994</v>
      </c>
    </row>
    <row r="5" spans="1:2" x14ac:dyDescent="0.25">
      <c r="A5" s="6" t="s">
        <v>379</v>
      </c>
      <c r="B5" s="5">
        <v>73098.279999999984</v>
      </c>
    </row>
    <row r="6" spans="1:2" x14ac:dyDescent="0.25">
      <c r="A6" s="6" t="s">
        <v>380</v>
      </c>
      <c r="B6" s="5">
        <v>165220.97</v>
      </c>
    </row>
    <row r="7" spans="1:2" x14ac:dyDescent="0.25">
      <c r="A7" s="6" t="s">
        <v>381</v>
      </c>
      <c r="B7" s="5">
        <v>103359.08</v>
      </c>
    </row>
    <row r="8" spans="1:2" x14ac:dyDescent="0.25">
      <c r="A8" s="6" t="s">
        <v>382</v>
      </c>
      <c r="B8" s="5">
        <v>80408.529999999984</v>
      </c>
    </row>
    <row r="9" spans="1:2" x14ac:dyDescent="0.25">
      <c r="A9" s="6" t="s">
        <v>383</v>
      </c>
      <c r="B9" s="5">
        <v>129536.47</v>
      </c>
    </row>
    <row r="10" spans="1:2" x14ac:dyDescent="0.25">
      <c r="A10" s="6" t="s">
        <v>384</v>
      </c>
      <c r="B10" s="5">
        <v>16743.64</v>
      </c>
    </row>
    <row r="11" spans="1:2" x14ac:dyDescent="0.25">
      <c r="A11" s="6" t="s">
        <v>376</v>
      </c>
      <c r="B11" s="5">
        <v>744148.65999999992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workbookViewId="0">
      <selection activeCell="A2" sqref="A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46029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0</v>
      </c>
      <c r="I2">
        <v>37500</v>
      </c>
      <c r="J2">
        <v>5256.67</v>
      </c>
    </row>
    <row r="3" spans="1:10" x14ac:dyDescent="0.25">
      <c r="A3" t="s">
        <v>15</v>
      </c>
      <c r="B3" s="2">
        <v>46045</v>
      </c>
      <c r="C3" t="s">
        <v>16</v>
      </c>
      <c r="D3" t="s">
        <v>17</v>
      </c>
      <c r="E3" t="s">
        <v>18</v>
      </c>
      <c r="F3" t="s">
        <v>19</v>
      </c>
      <c r="G3">
        <v>7</v>
      </c>
      <c r="H3">
        <v>0</v>
      </c>
      <c r="I3">
        <v>560</v>
      </c>
      <c r="J3">
        <v>59</v>
      </c>
    </row>
    <row r="4" spans="1:10" x14ac:dyDescent="0.25">
      <c r="A4" t="s">
        <v>20</v>
      </c>
      <c r="B4" s="2">
        <v>46177</v>
      </c>
      <c r="C4" t="s">
        <v>21</v>
      </c>
      <c r="D4" t="s">
        <v>17</v>
      </c>
      <c r="E4" t="s">
        <v>18</v>
      </c>
      <c r="F4" t="s">
        <v>22</v>
      </c>
      <c r="G4">
        <v>1</v>
      </c>
      <c r="H4">
        <v>0</v>
      </c>
      <c r="I4">
        <v>80</v>
      </c>
      <c r="J4">
        <v>18.309999999999999</v>
      </c>
    </row>
    <row r="5" spans="1:10" x14ac:dyDescent="0.25">
      <c r="A5" t="s">
        <v>23</v>
      </c>
      <c r="B5" s="2">
        <v>46079</v>
      </c>
      <c r="C5" t="s">
        <v>24</v>
      </c>
      <c r="D5" t="s">
        <v>25</v>
      </c>
      <c r="E5" t="s">
        <v>26</v>
      </c>
      <c r="F5" t="s">
        <v>19</v>
      </c>
      <c r="G5">
        <v>8</v>
      </c>
      <c r="H5">
        <v>0.05</v>
      </c>
      <c r="I5">
        <v>15960</v>
      </c>
      <c r="J5">
        <v>3921.33</v>
      </c>
    </row>
    <row r="6" spans="1:10" x14ac:dyDescent="0.25">
      <c r="A6" t="s">
        <v>27</v>
      </c>
      <c r="B6" s="2">
        <v>46110</v>
      </c>
      <c r="C6" t="s">
        <v>28</v>
      </c>
      <c r="D6" t="s">
        <v>25</v>
      </c>
      <c r="E6" t="s">
        <v>26</v>
      </c>
      <c r="F6" t="s">
        <v>29</v>
      </c>
      <c r="G6">
        <v>5</v>
      </c>
      <c r="H6">
        <v>0</v>
      </c>
      <c r="I6">
        <v>10500</v>
      </c>
      <c r="J6">
        <v>1456.94</v>
      </c>
    </row>
    <row r="7" spans="1:10" x14ac:dyDescent="0.25">
      <c r="A7" t="s">
        <v>30</v>
      </c>
      <c r="B7" s="2">
        <v>46046</v>
      </c>
      <c r="C7" t="s">
        <v>31</v>
      </c>
      <c r="D7" t="s">
        <v>12</v>
      </c>
      <c r="E7" t="s">
        <v>13</v>
      </c>
      <c r="F7" t="s">
        <v>22</v>
      </c>
      <c r="G7">
        <v>7</v>
      </c>
      <c r="H7">
        <v>0</v>
      </c>
      <c r="I7">
        <v>52500</v>
      </c>
      <c r="J7">
        <v>8642.36</v>
      </c>
    </row>
    <row r="8" spans="1:10" x14ac:dyDescent="0.25">
      <c r="A8" t="s">
        <v>32</v>
      </c>
      <c r="B8" s="2">
        <v>46034</v>
      </c>
      <c r="C8" t="s">
        <v>33</v>
      </c>
      <c r="D8" t="s">
        <v>34</v>
      </c>
      <c r="E8" t="s">
        <v>26</v>
      </c>
      <c r="F8" t="s">
        <v>14</v>
      </c>
      <c r="G8">
        <v>8</v>
      </c>
      <c r="H8">
        <v>0</v>
      </c>
      <c r="I8">
        <v>14400</v>
      </c>
      <c r="J8">
        <v>3962.32</v>
      </c>
    </row>
    <row r="9" spans="1:10" x14ac:dyDescent="0.25">
      <c r="A9" t="s">
        <v>35</v>
      </c>
      <c r="B9" s="2">
        <v>46098</v>
      </c>
      <c r="C9" t="s">
        <v>36</v>
      </c>
      <c r="D9" t="s">
        <v>17</v>
      </c>
      <c r="E9" t="s">
        <v>18</v>
      </c>
      <c r="F9" t="s">
        <v>19</v>
      </c>
      <c r="G9">
        <v>6</v>
      </c>
      <c r="H9">
        <v>0</v>
      </c>
      <c r="I9">
        <v>480</v>
      </c>
      <c r="J9">
        <v>108.88</v>
      </c>
    </row>
    <row r="10" spans="1:10" x14ac:dyDescent="0.25">
      <c r="A10" t="s">
        <v>37</v>
      </c>
      <c r="B10" s="2">
        <v>46043</v>
      </c>
      <c r="C10" t="s">
        <v>38</v>
      </c>
      <c r="D10" t="s">
        <v>34</v>
      </c>
      <c r="E10" t="s">
        <v>26</v>
      </c>
      <c r="F10" t="s">
        <v>29</v>
      </c>
      <c r="G10">
        <v>4</v>
      </c>
      <c r="H10">
        <v>0</v>
      </c>
      <c r="I10">
        <v>7200</v>
      </c>
      <c r="J10">
        <v>1212.6400000000001</v>
      </c>
    </row>
    <row r="11" spans="1:10" x14ac:dyDescent="0.25">
      <c r="A11" t="s">
        <v>39</v>
      </c>
      <c r="B11" s="2">
        <v>46117</v>
      </c>
      <c r="C11" t="s">
        <v>21</v>
      </c>
      <c r="D11" t="s">
        <v>40</v>
      </c>
      <c r="E11" t="s">
        <v>13</v>
      </c>
      <c r="F11" t="s">
        <v>14</v>
      </c>
      <c r="G11">
        <v>6</v>
      </c>
      <c r="H11">
        <v>0</v>
      </c>
      <c r="I11">
        <v>25200</v>
      </c>
      <c r="J11">
        <v>5559.91</v>
      </c>
    </row>
    <row r="12" spans="1:10" x14ac:dyDescent="0.25">
      <c r="A12" t="s">
        <v>41</v>
      </c>
      <c r="B12" s="2">
        <v>46185</v>
      </c>
      <c r="C12" t="s">
        <v>33</v>
      </c>
      <c r="D12" t="s">
        <v>42</v>
      </c>
      <c r="E12" t="s">
        <v>18</v>
      </c>
      <c r="F12" t="s">
        <v>29</v>
      </c>
      <c r="G12">
        <v>3</v>
      </c>
      <c r="H12">
        <v>0</v>
      </c>
      <c r="I12">
        <v>360</v>
      </c>
      <c r="J12">
        <v>46.59</v>
      </c>
    </row>
    <row r="13" spans="1:10" x14ac:dyDescent="0.25">
      <c r="A13" t="s">
        <v>43</v>
      </c>
      <c r="B13" s="2">
        <v>46079</v>
      </c>
      <c r="C13" t="s">
        <v>44</v>
      </c>
      <c r="D13" t="s">
        <v>17</v>
      </c>
      <c r="E13" t="s">
        <v>18</v>
      </c>
      <c r="F13" t="s">
        <v>29</v>
      </c>
      <c r="G13">
        <v>6</v>
      </c>
      <c r="H13">
        <v>0</v>
      </c>
      <c r="I13">
        <v>480</v>
      </c>
      <c r="J13">
        <v>67.790000000000006</v>
      </c>
    </row>
    <row r="14" spans="1:10" x14ac:dyDescent="0.25">
      <c r="A14" t="s">
        <v>45</v>
      </c>
      <c r="B14" s="2">
        <v>46091</v>
      </c>
      <c r="C14" t="s">
        <v>46</v>
      </c>
      <c r="D14" t="s">
        <v>25</v>
      </c>
      <c r="E14" t="s">
        <v>26</v>
      </c>
      <c r="F14" t="s">
        <v>29</v>
      </c>
      <c r="G14">
        <v>2</v>
      </c>
      <c r="H14">
        <v>0</v>
      </c>
      <c r="I14">
        <v>4200</v>
      </c>
      <c r="J14">
        <v>1110.33</v>
      </c>
    </row>
    <row r="15" spans="1:10" x14ac:dyDescent="0.25">
      <c r="A15" t="s">
        <v>47</v>
      </c>
      <c r="B15" s="2">
        <v>46190</v>
      </c>
      <c r="C15" t="s">
        <v>48</v>
      </c>
      <c r="D15" t="s">
        <v>49</v>
      </c>
      <c r="E15" t="s">
        <v>13</v>
      </c>
      <c r="F15" t="s">
        <v>50</v>
      </c>
      <c r="G15">
        <v>8</v>
      </c>
      <c r="H15">
        <v>0.1</v>
      </c>
      <c r="I15">
        <v>6120</v>
      </c>
      <c r="J15">
        <v>1586.57</v>
      </c>
    </row>
    <row r="16" spans="1:10" x14ac:dyDescent="0.25">
      <c r="A16" t="s">
        <v>51</v>
      </c>
      <c r="B16" s="2">
        <v>46090</v>
      </c>
      <c r="C16" t="s">
        <v>52</v>
      </c>
      <c r="D16" t="s">
        <v>40</v>
      </c>
      <c r="E16" t="s">
        <v>13</v>
      </c>
      <c r="F16" t="s">
        <v>29</v>
      </c>
      <c r="G16">
        <v>3</v>
      </c>
      <c r="H16">
        <v>0</v>
      </c>
      <c r="I16">
        <v>12600</v>
      </c>
      <c r="J16">
        <v>2949.64</v>
      </c>
    </row>
    <row r="17" spans="1:10" x14ac:dyDescent="0.25">
      <c r="A17" t="s">
        <v>53</v>
      </c>
      <c r="B17" s="2">
        <v>46132</v>
      </c>
      <c r="C17" t="s">
        <v>54</v>
      </c>
      <c r="D17" t="s">
        <v>42</v>
      </c>
      <c r="E17" t="s">
        <v>18</v>
      </c>
      <c r="F17" t="s">
        <v>22</v>
      </c>
      <c r="G17">
        <v>7</v>
      </c>
      <c r="H17">
        <v>0.05</v>
      </c>
      <c r="I17">
        <v>798</v>
      </c>
      <c r="J17">
        <v>111.3</v>
      </c>
    </row>
    <row r="18" spans="1:10" x14ac:dyDescent="0.25">
      <c r="A18" t="s">
        <v>55</v>
      </c>
      <c r="B18" s="2">
        <v>46046</v>
      </c>
      <c r="C18" t="s">
        <v>56</v>
      </c>
      <c r="D18" t="s">
        <v>57</v>
      </c>
      <c r="E18" t="s">
        <v>18</v>
      </c>
      <c r="F18" t="s">
        <v>50</v>
      </c>
      <c r="G18">
        <v>1</v>
      </c>
      <c r="H18">
        <v>0</v>
      </c>
      <c r="I18">
        <v>2800</v>
      </c>
      <c r="J18">
        <v>357.03</v>
      </c>
    </row>
    <row r="19" spans="1:10" x14ac:dyDescent="0.25">
      <c r="A19" t="s">
        <v>58</v>
      </c>
      <c r="B19" s="2">
        <v>46039</v>
      </c>
      <c r="C19" t="s">
        <v>59</v>
      </c>
      <c r="D19" t="s">
        <v>42</v>
      </c>
      <c r="E19" t="s">
        <v>18</v>
      </c>
      <c r="F19" t="s">
        <v>22</v>
      </c>
      <c r="G19">
        <v>7</v>
      </c>
      <c r="H19">
        <v>0.1</v>
      </c>
      <c r="I19">
        <v>756</v>
      </c>
      <c r="J19">
        <v>156.69</v>
      </c>
    </row>
    <row r="20" spans="1:10" x14ac:dyDescent="0.25">
      <c r="A20" t="s">
        <v>60</v>
      </c>
      <c r="B20" s="2">
        <v>46164</v>
      </c>
      <c r="C20" t="s">
        <v>52</v>
      </c>
      <c r="D20" t="s">
        <v>34</v>
      </c>
      <c r="E20" t="s">
        <v>26</v>
      </c>
      <c r="F20" t="s">
        <v>29</v>
      </c>
      <c r="G20">
        <v>1</v>
      </c>
      <c r="H20">
        <v>0</v>
      </c>
      <c r="I20">
        <v>1800</v>
      </c>
      <c r="J20">
        <v>400.87</v>
      </c>
    </row>
    <row r="21" spans="1:10" x14ac:dyDescent="0.25">
      <c r="A21" t="s">
        <v>61</v>
      </c>
      <c r="B21" s="2">
        <v>46051</v>
      </c>
      <c r="C21" t="s">
        <v>24</v>
      </c>
      <c r="D21" t="s">
        <v>62</v>
      </c>
      <c r="E21" t="s">
        <v>26</v>
      </c>
      <c r="F21" t="s">
        <v>29</v>
      </c>
      <c r="G21">
        <v>5</v>
      </c>
      <c r="H21">
        <v>0.1</v>
      </c>
      <c r="I21">
        <v>14400</v>
      </c>
      <c r="J21">
        <v>1849.94</v>
      </c>
    </row>
    <row r="22" spans="1:10" x14ac:dyDescent="0.25">
      <c r="A22" t="s">
        <v>63</v>
      </c>
      <c r="B22" s="2">
        <v>46068</v>
      </c>
      <c r="C22" t="s">
        <v>64</v>
      </c>
      <c r="D22" t="s">
        <v>17</v>
      </c>
      <c r="E22" t="s">
        <v>18</v>
      </c>
      <c r="F22" t="s">
        <v>22</v>
      </c>
      <c r="G22">
        <v>2</v>
      </c>
      <c r="H22">
        <v>0.05</v>
      </c>
      <c r="I22">
        <v>152</v>
      </c>
      <c r="J22">
        <v>38.229999999999997</v>
      </c>
    </row>
    <row r="23" spans="1:10" x14ac:dyDescent="0.25">
      <c r="A23" t="s">
        <v>65</v>
      </c>
      <c r="B23" s="2">
        <v>46062</v>
      </c>
      <c r="C23" t="s">
        <v>66</v>
      </c>
      <c r="D23" t="s">
        <v>49</v>
      </c>
      <c r="E23" t="s">
        <v>13</v>
      </c>
      <c r="F23" t="s">
        <v>22</v>
      </c>
      <c r="G23">
        <v>6</v>
      </c>
      <c r="H23">
        <v>0</v>
      </c>
      <c r="I23">
        <v>5100</v>
      </c>
      <c r="J23">
        <v>1005.15</v>
      </c>
    </row>
    <row r="24" spans="1:10" x14ac:dyDescent="0.25">
      <c r="A24" t="s">
        <v>67</v>
      </c>
      <c r="B24" s="2">
        <v>46176</v>
      </c>
      <c r="C24" t="s">
        <v>68</v>
      </c>
      <c r="D24" t="s">
        <v>69</v>
      </c>
      <c r="E24" t="s">
        <v>13</v>
      </c>
      <c r="F24" t="s">
        <v>29</v>
      </c>
      <c r="G24">
        <v>6</v>
      </c>
      <c r="H24">
        <v>0.1</v>
      </c>
      <c r="I24">
        <v>64800</v>
      </c>
      <c r="J24">
        <v>6707.18</v>
      </c>
    </row>
    <row r="25" spans="1:10" x14ac:dyDescent="0.25">
      <c r="A25" t="s">
        <v>70</v>
      </c>
      <c r="B25" s="2">
        <v>46037</v>
      </c>
      <c r="C25" t="s">
        <v>71</v>
      </c>
      <c r="D25" t="s">
        <v>49</v>
      </c>
      <c r="E25" t="s">
        <v>13</v>
      </c>
      <c r="F25" t="s">
        <v>14</v>
      </c>
      <c r="G25">
        <v>4</v>
      </c>
      <c r="H25">
        <v>0</v>
      </c>
      <c r="I25">
        <v>3400</v>
      </c>
      <c r="J25">
        <v>392.42</v>
      </c>
    </row>
    <row r="26" spans="1:10" x14ac:dyDescent="0.25">
      <c r="A26" t="s">
        <v>72</v>
      </c>
      <c r="B26" s="2">
        <v>46055</v>
      </c>
      <c r="C26" t="s">
        <v>73</v>
      </c>
      <c r="D26" t="s">
        <v>17</v>
      </c>
      <c r="E26" t="s">
        <v>18</v>
      </c>
      <c r="F26" t="s">
        <v>29</v>
      </c>
      <c r="G26">
        <v>3</v>
      </c>
      <c r="H26">
        <v>0.1</v>
      </c>
      <c r="I26">
        <v>216</v>
      </c>
      <c r="J26">
        <v>58.41</v>
      </c>
    </row>
    <row r="27" spans="1:10" x14ac:dyDescent="0.25">
      <c r="A27" t="s">
        <v>74</v>
      </c>
      <c r="B27" s="2">
        <v>46178</v>
      </c>
      <c r="C27" t="s">
        <v>75</v>
      </c>
      <c r="D27" t="s">
        <v>17</v>
      </c>
      <c r="E27" t="s">
        <v>18</v>
      </c>
      <c r="F27" t="s">
        <v>19</v>
      </c>
      <c r="G27">
        <v>7</v>
      </c>
      <c r="H27">
        <v>0</v>
      </c>
      <c r="I27">
        <v>560</v>
      </c>
      <c r="J27">
        <v>149.63</v>
      </c>
    </row>
    <row r="28" spans="1:10" x14ac:dyDescent="0.25">
      <c r="A28" t="s">
        <v>76</v>
      </c>
      <c r="B28" s="2">
        <v>46125</v>
      </c>
      <c r="C28" t="s">
        <v>77</v>
      </c>
      <c r="D28" t="s">
        <v>34</v>
      </c>
      <c r="E28" t="s">
        <v>26</v>
      </c>
      <c r="F28" t="s">
        <v>14</v>
      </c>
      <c r="G28">
        <v>6</v>
      </c>
      <c r="H28">
        <v>0.1</v>
      </c>
      <c r="I28">
        <v>9720</v>
      </c>
      <c r="J28">
        <v>2545.96</v>
      </c>
    </row>
    <row r="29" spans="1:10" x14ac:dyDescent="0.25">
      <c r="A29" t="s">
        <v>78</v>
      </c>
      <c r="B29" s="2">
        <v>46080</v>
      </c>
      <c r="C29" t="s">
        <v>79</v>
      </c>
      <c r="D29" t="s">
        <v>49</v>
      </c>
      <c r="E29" t="s">
        <v>13</v>
      </c>
      <c r="F29" t="s">
        <v>19</v>
      </c>
      <c r="G29">
        <v>2</v>
      </c>
      <c r="H29">
        <v>0.05</v>
      </c>
      <c r="I29">
        <v>1615</v>
      </c>
      <c r="J29">
        <v>167.61</v>
      </c>
    </row>
    <row r="30" spans="1:10" x14ac:dyDescent="0.25">
      <c r="A30" t="s">
        <v>80</v>
      </c>
      <c r="B30" s="2">
        <v>46079</v>
      </c>
      <c r="C30" t="s">
        <v>81</v>
      </c>
      <c r="D30" t="s">
        <v>42</v>
      </c>
      <c r="E30" t="s">
        <v>18</v>
      </c>
      <c r="F30" t="s">
        <v>19</v>
      </c>
      <c r="G30">
        <v>1</v>
      </c>
      <c r="H30">
        <v>0</v>
      </c>
      <c r="I30">
        <v>120</v>
      </c>
      <c r="J30">
        <v>27.29</v>
      </c>
    </row>
    <row r="31" spans="1:10" x14ac:dyDescent="0.25">
      <c r="A31" t="s">
        <v>82</v>
      </c>
      <c r="B31" s="2">
        <v>46031</v>
      </c>
      <c r="C31" t="s">
        <v>83</v>
      </c>
      <c r="D31" t="s">
        <v>12</v>
      </c>
      <c r="E31" t="s">
        <v>13</v>
      </c>
      <c r="F31" t="s">
        <v>50</v>
      </c>
      <c r="G31">
        <v>6</v>
      </c>
      <c r="H31">
        <v>0</v>
      </c>
      <c r="I31">
        <v>45000</v>
      </c>
      <c r="J31">
        <v>8664.66</v>
      </c>
    </row>
    <row r="32" spans="1:10" x14ac:dyDescent="0.25">
      <c r="A32" t="s">
        <v>84</v>
      </c>
      <c r="B32" s="2">
        <v>46161</v>
      </c>
      <c r="C32" t="s">
        <v>85</v>
      </c>
      <c r="D32" t="s">
        <v>49</v>
      </c>
      <c r="E32" t="s">
        <v>13</v>
      </c>
      <c r="F32" t="s">
        <v>50</v>
      </c>
      <c r="G32">
        <v>3</v>
      </c>
      <c r="H32">
        <v>0.1</v>
      </c>
      <c r="I32">
        <v>2295</v>
      </c>
      <c r="J32">
        <v>329.88</v>
      </c>
    </row>
    <row r="33" spans="1:10" x14ac:dyDescent="0.25">
      <c r="A33" t="s">
        <v>86</v>
      </c>
      <c r="B33" s="2">
        <v>46047</v>
      </c>
      <c r="C33" t="s">
        <v>87</v>
      </c>
      <c r="D33" t="s">
        <v>49</v>
      </c>
      <c r="E33" t="s">
        <v>13</v>
      </c>
      <c r="F33" t="s">
        <v>50</v>
      </c>
      <c r="G33">
        <v>2</v>
      </c>
      <c r="H33">
        <v>0.1</v>
      </c>
      <c r="I33">
        <v>1530</v>
      </c>
      <c r="J33">
        <v>250.57</v>
      </c>
    </row>
    <row r="34" spans="1:10" x14ac:dyDescent="0.25">
      <c r="A34" t="s">
        <v>88</v>
      </c>
      <c r="B34" s="2">
        <v>46195</v>
      </c>
      <c r="C34" t="s">
        <v>89</v>
      </c>
      <c r="D34" t="s">
        <v>69</v>
      </c>
      <c r="E34" t="s">
        <v>13</v>
      </c>
      <c r="F34" t="s">
        <v>14</v>
      </c>
      <c r="G34">
        <v>2</v>
      </c>
      <c r="H34">
        <v>0</v>
      </c>
      <c r="I34">
        <v>24000</v>
      </c>
      <c r="J34">
        <v>4139.32</v>
      </c>
    </row>
    <row r="35" spans="1:10" x14ac:dyDescent="0.25">
      <c r="A35" t="s">
        <v>90</v>
      </c>
      <c r="B35" s="2">
        <v>46072</v>
      </c>
      <c r="C35" t="s">
        <v>91</v>
      </c>
      <c r="D35" t="s">
        <v>49</v>
      </c>
      <c r="E35" t="s">
        <v>13</v>
      </c>
      <c r="F35" t="s">
        <v>29</v>
      </c>
      <c r="G35">
        <v>4</v>
      </c>
      <c r="H35">
        <v>0.1</v>
      </c>
      <c r="I35">
        <v>3060</v>
      </c>
      <c r="J35">
        <v>383.21</v>
      </c>
    </row>
    <row r="36" spans="1:10" x14ac:dyDescent="0.25">
      <c r="A36" t="s">
        <v>92</v>
      </c>
      <c r="B36" s="2">
        <v>46086</v>
      </c>
      <c r="C36" t="s">
        <v>79</v>
      </c>
      <c r="D36" t="s">
        <v>57</v>
      </c>
      <c r="E36" t="s">
        <v>18</v>
      </c>
      <c r="F36" t="s">
        <v>14</v>
      </c>
      <c r="G36">
        <v>2</v>
      </c>
      <c r="H36">
        <v>0.1</v>
      </c>
      <c r="I36">
        <v>5040</v>
      </c>
      <c r="J36">
        <v>1237.04</v>
      </c>
    </row>
    <row r="37" spans="1:10" x14ac:dyDescent="0.25">
      <c r="A37" t="s">
        <v>93</v>
      </c>
      <c r="B37" s="2">
        <v>46189</v>
      </c>
      <c r="C37" t="s">
        <v>94</v>
      </c>
      <c r="D37" t="s">
        <v>69</v>
      </c>
      <c r="E37" t="s">
        <v>13</v>
      </c>
      <c r="F37" t="s">
        <v>19</v>
      </c>
      <c r="G37">
        <v>1</v>
      </c>
      <c r="H37">
        <v>0</v>
      </c>
      <c r="I37">
        <v>12000</v>
      </c>
      <c r="J37">
        <v>3200.95</v>
      </c>
    </row>
    <row r="38" spans="1:10" x14ac:dyDescent="0.25">
      <c r="A38" t="s">
        <v>95</v>
      </c>
      <c r="B38" s="2">
        <v>46147</v>
      </c>
      <c r="C38" t="s">
        <v>81</v>
      </c>
      <c r="D38" t="s">
        <v>25</v>
      </c>
      <c r="E38" t="s">
        <v>26</v>
      </c>
      <c r="F38" t="s">
        <v>19</v>
      </c>
      <c r="G38">
        <v>8</v>
      </c>
      <c r="H38">
        <v>0</v>
      </c>
      <c r="I38">
        <v>16800</v>
      </c>
      <c r="J38">
        <v>4294.7</v>
      </c>
    </row>
    <row r="39" spans="1:10" x14ac:dyDescent="0.25">
      <c r="A39" t="s">
        <v>96</v>
      </c>
      <c r="B39" s="2">
        <v>46023</v>
      </c>
      <c r="C39" t="s">
        <v>38</v>
      </c>
      <c r="D39" t="s">
        <v>25</v>
      </c>
      <c r="E39" t="s">
        <v>26</v>
      </c>
      <c r="F39" t="s">
        <v>29</v>
      </c>
      <c r="G39">
        <v>7</v>
      </c>
      <c r="H39">
        <v>0.05</v>
      </c>
      <c r="I39">
        <v>13965</v>
      </c>
      <c r="J39">
        <v>3725.49</v>
      </c>
    </row>
    <row r="40" spans="1:10" x14ac:dyDescent="0.25">
      <c r="A40" t="s">
        <v>97</v>
      </c>
      <c r="B40" s="2">
        <v>46201</v>
      </c>
      <c r="C40" t="s">
        <v>16</v>
      </c>
      <c r="D40" t="s">
        <v>25</v>
      </c>
      <c r="E40" t="s">
        <v>26</v>
      </c>
      <c r="F40" t="s">
        <v>14</v>
      </c>
      <c r="G40">
        <v>8</v>
      </c>
      <c r="H40">
        <v>0</v>
      </c>
      <c r="I40">
        <v>16800</v>
      </c>
      <c r="J40">
        <v>2254.25</v>
      </c>
    </row>
    <row r="41" spans="1:10" x14ac:dyDescent="0.25">
      <c r="A41" t="s">
        <v>98</v>
      </c>
      <c r="B41" s="2">
        <v>46161</v>
      </c>
      <c r="C41" t="s">
        <v>99</v>
      </c>
      <c r="D41" t="s">
        <v>42</v>
      </c>
      <c r="E41" t="s">
        <v>18</v>
      </c>
      <c r="F41" t="s">
        <v>50</v>
      </c>
      <c r="G41">
        <v>1</v>
      </c>
      <c r="H41">
        <v>0.05</v>
      </c>
      <c r="I41">
        <v>114</v>
      </c>
      <c r="J41">
        <v>12.57</v>
      </c>
    </row>
    <row r="42" spans="1:10" x14ac:dyDescent="0.25">
      <c r="A42" t="s">
        <v>100</v>
      </c>
      <c r="B42" s="2">
        <v>46158</v>
      </c>
      <c r="C42" t="s">
        <v>101</v>
      </c>
      <c r="D42" t="s">
        <v>17</v>
      </c>
      <c r="E42" t="s">
        <v>18</v>
      </c>
      <c r="F42" t="s">
        <v>19</v>
      </c>
      <c r="G42">
        <v>3</v>
      </c>
      <c r="H42">
        <v>0</v>
      </c>
      <c r="I42">
        <v>240</v>
      </c>
      <c r="J42">
        <v>65.510000000000005</v>
      </c>
    </row>
    <row r="43" spans="1:10" x14ac:dyDescent="0.25">
      <c r="A43" t="s">
        <v>102</v>
      </c>
      <c r="B43" s="2">
        <v>46175</v>
      </c>
      <c r="C43" t="s">
        <v>46</v>
      </c>
      <c r="D43" t="s">
        <v>12</v>
      </c>
      <c r="E43" t="s">
        <v>13</v>
      </c>
      <c r="F43" t="s">
        <v>19</v>
      </c>
      <c r="G43">
        <v>2</v>
      </c>
      <c r="H43">
        <v>0</v>
      </c>
      <c r="I43">
        <v>15000</v>
      </c>
      <c r="J43">
        <v>2590.19</v>
      </c>
    </row>
    <row r="44" spans="1:10" x14ac:dyDescent="0.25">
      <c r="A44" t="s">
        <v>103</v>
      </c>
      <c r="B44" s="2">
        <v>46175</v>
      </c>
      <c r="C44" t="s">
        <v>99</v>
      </c>
      <c r="D44" t="s">
        <v>42</v>
      </c>
      <c r="E44" t="s">
        <v>18</v>
      </c>
      <c r="F44" t="s">
        <v>22</v>
      </c>
      <c r="G44">
        <v>1</v>
      </c>
      <c r="H44">
        <v>0</v>
      </c>
      <c r="I44">
        <v>120</v>
      </c>
      <c r="J44">
        <v>21.06</v>
      </c>
    </row>
    <row r="45" spans="1:10" x14ac:dyDescent="0.25">
      <c r="A45" t="s">
        <v>104</v>
      </c>
      <c r="B45" s="2">
        <v>46103</v>
      </c>
      <c r="C45" t="s">
        <v>105</v>
      </c>
      <c r="D45" t="s">
        <v>17</v>
      </c>
      <c r="E45" t="s">
        <v>18</v>
      </c>
      <c r="F45" t="s">
        <v>19</v>
      </c>
      <c r="G45">
        <v>5</v>
      </c>
      <c r="H45">
        <v>0</v>
      </c>
      <c r="I45">
        <v>400</v>
      </c>
      <c r="J45">
        <v>88.22</v>
      </c>
    </row>
    <row r="46" spans="1:10" x14ac:dyDescent="0.25">
      <c r="A46" t="s">
        <v>106</v>
      </c>
      <c r="B46" s="2">
        <v>46124</v>
      </c>
      <c r="C46" t="s">
        <v>75</v>
      </c>
      <c r="D46" t="s">
        <v>34</v>
      </c>
      <c r="E46" t="s">
        <v>26</v>
      </c>
      <c r="F46" t="s">
        <v>14</v>
      </c>
      <c r="G46">
        <v>3</v>
      </c>
      <c r="H46">
        <v>0.05</v>
      </c>
      <c r="I46">
        <v>5130</v>
      </c>
      <c r="J46">
        <v>935.2</v>
      </c>
    </row>
    <row r="47" spans="1:10" x14ac:dyDescent="0.25">
      <c r="A47" t="s">
        <v>107</v>
      </c>
      <c r="B47" s="2">
        <v>46140</v>
      </c>
      <c r="C47" t="s">
        <v>64</v>
      </c>
      <c r="D47" t="s">
        <v>69</v>
      </c>
      <c r="E47" t="s">
        <v>13</v>
      </c>
      <c r="F47" t="s">
        <v>29</v>
      </c>
      <c r="G47">
        <v>2</v>
      </c>
      <c r="H47">
        <v>0</v>
      </c>
      <c r="I47">
        <v>24000</v>
      </c>
      <c r="J47">
        <v>4722.58</v>
      </c>
    </row>
    <row r="48" spans="1:10" x14ac:dyDescent="0.25">
      <c r="A48" t="s">
        <v>108</v>
      </c>
      <c r="B48" s="2">
        <v>46112</v>
      </c>
      <c r="C48" t="s">
        <v>56</v>
      </c>
      <c r="D48" t="s">
        <v>40</v>
      </c>
      <c r="E48" t="s">
        <v>13</v>
      </c>
      <c r="F48" t="s">
        <v>50</v>
      </c>
      <c r="G48">
        <v>2</v>
      </c>
      <c r="H48">
        <v>0</v>
      </c>
      <c r="I48">
        <v>8400</v>
      </c>
      <c r="J48">
        <v>1398.72</v>
      </c>
    </row>
    <row r="49" spans="1:10" x14ac:dyDescent="0.25">
      <c r="A49" t="s">
        <v>109</v>
      </c>
      <c r="B49" s="2">
        <v>46203</v>
      </c>
      <c r="C49" t="s">
        <v>79</v>
      </c>
      <c r="D49" t="s">
        <v>17</v>
      </c>
      <c r="E49" t="s">
        <v>18</v>
      </c>
      <c r="F49" t="s">
        <v>29</v>
      </c>
      <c r="G49">
        <v>5</v>
      </c>
      <c r="H49">
        <v>0</v>
      </c>
      <c r="I49">
        <v>400</v>
      </c>
      <c r="J49">
        <v>88.09</v>
      </c>
    </row>
    <row r="50" spans="1:10" x14ac:dyDescent="0.25">
      <c r="A50" t="s">
        <v>110</v>
      </c>
      <c r="B50" s="2">
        <v>46057</v>
      </c>
      <c r="C50" t="s">
        <v>111</v>
      </c>
      <c r="D50" t="s">
        <v>12</v>
      </c>
      <c r="E50" t="s">
        <v>13</v>
      </c>
      <c r="F50" t="s">
        <v>22</v>
      </c>
      <c r="G50">
        <v>5</v>
      </c>
      <c r="H50">
        <v>0</v>
      </c>
      <c r="I50">
        <v>37500</v>
      </c>
      <c r="J50">
        <v>9755.56</v>
      </c>
    </row>
    <row r="51" spans="1:10" x14ac:dyDescent="0.25">
      <c r="A51" t="s">
        <v>112</v>
      </c>
      <c r="B51" s="2">
        <v>46092</v>
      </c>
      <c r="C51" t="s">
        <v>113</v>
      </c>
      <c r="D51" t="s">
        <v>40</v>
      </c>
      <c r="E51" t="s">
        <v>13</v>
      </c>
      <c r="F51" t="s">
        <v>29</v>
      </c>
      <c r="G51">
        <v>5</v>
      </c>
      <c r="H51">
        <v>0</v>
      </c>
      <c r="I51">
        <v>21000</v>
      </c>
      <c r="J51">
        <v>4812.57</v>
      </c>
    </row>
    <row r="52" spans="1:10" x14ac:dyDescent="0.25">
      <c r="A52" t="s">
        <v>114</v>
      </c>
      <c r="B52" s="2">
        <v>46148</v>
      </c>
      <c r="C52" t="s">
        <v>115</v>
      </c>
      <c r="D52" t="s">
        <v>17</v>
      </c>
      <c r="E52" t="s">
        <v>18</v>
      </c>
      <c r="F52" t="s">
        <v>29</v>
      </c>
      <c r="G52">
        <v>5</v>
      </c>
      <c r="H52">
        <v>0</v>
      </c>
      <c r="I52">
        <v>400</v>
      </c>
      <c r="J52">
        <v>46.65</v>
      </c>
    </row>
    <row r="53" spans="1:10" x14ac:dyDescent="0.25">
      <c r="A53" t="s">
        <v>116</v>
      </c>
      <c r="B53" s="2">
        <v>46023</v>
      </c>
      <c r="C53" t="s">
        <v>117</v>
      </c>
      <c r="D53" t="s">
        <v>69</v>
      </c>
      <c r="E53" t="s">
        <v>13</v>
      </c>
      <c r="F53" t="s">
        <v>19</v>
      </c>
      <c r="G53">
        <v>6</v>
      </c>
      <c r="H53">
        <v>0</v>
      </c>
      <c r="I53">
        <v>72000</v>
      </c>
      <c r="J53">
        <v>15456.99</v>
      </c>
    </row>
    <row r="54" spans="1:10" x14ac:dyDescent="0.25">
      <c r="A54" t="s">
        <v>118</v>
      </c>
      <c r="B54" s="2">
        <v>46164</v>
      </c>
      <c r="C54" t="s">
        <v>119</v>
      </c>
      <c r="D54" t="s">
        <v>57</v>
      </c>
      <c r="E54" t="s">
        <v>18</v>
      </c>
      <c r="F54" t="s">
        <v>19</v>
      </c>
      <c r="G54">
        <v>7</v>
      </c>
      <c r="H54">
        <v>0</v>
      </c>
      <c r="I54">
        <v>19600</v>
      </c>
      <c r="J54">
        <v>2354.69</v>
      </c>
    </row>
    <row r="55" spans="1:10" x14ac:dyDescent="0.25">
      <c r="A55" t="s">
        <v>120</v>
      </c>
      <c r="B55" s="2">
        <v>46032</v>
      </c>
      <c r="C55" t="s">
        <v>36</v>
      </c>
      <c r="D55" t="s">
        <v>17</v>
      </c>
      <c r="E55" t="s">
        <v>18</v>
      </c>
      <c r="F55" t="s">
        <v>29</v>
      </c>
      <c r="G55">
        <v>6</v>
      </c>
      <c r="H55">
        <v>0</v>
      </c>
      <c r="I55">
        <v>480</v>
      </c>
      <c r="J55">
        <v>85.13</v>
      </c>
    </row>
    <row r="56" spans="1:10" x14ac:dyDescent="0.25">
      <c r="A56" t="s">
        <v>121</v>
      </c>
      <c r="B56" s="2">
        <v>46033</v>
      </c>
      <c r="C56" t="s">
        <v>122</v>
      </c>
      <c r="D56" t="s">
        <v>62</v>
      </c>
      <c r="E56" t="s">
        <v>26</v>
      </c>
      <c r="F56" t="s">
        <v>14</v>
      </c>
      <c r="G56">
        <v>6</v>
      </c>
      <c r="H56">
        <v>0</v>
      </c>
      <c r="I56">
        <v>19200</v>
      </c>
      <c r="J56">
        <v>4277.22</v>
      </c>
    </row>
    <row r="57" spans="1:10" x14ac:dyDescent="0.25">
      <c r="A57" t="s">
        <v>123</v>
      </c>
      <c r="B57" s="2">
        <v>46166</v>
      </c>
      <c r="C57" t="s">
        <v>94</v>
      </c>
      <c r="D57" t="s">
        <v>62</v>
      </c>
      <c r="E57" t="s">
        <v>26</v>
      </c>
      <c r="F57" t="s">
        <v>19</v>
      </c>
      <c r="G57">
        <v>7</v>
      </c>
      <c r="H57">
        <v>0</v>
      </c>
      <c r="I57">
        <v>22400</v>
      </c>
      <c r="J57">
        <v>5972.68</v>
      </c>
    </row>
    <row r="58" spans="1:10" x14ac:dyDescent="0.25">
      <c r="A58" t="s">
        <v>124</v>
      </c>
      <c r="B58" s="2">
        <v>46128</v>
      </c>
      <c r="C58" t="s">
        <v>125</v>
      </c>
      <c r="D58" t="s">
        <v>40</v>
      </c>
      <c r="E58" t="s">
        <v>13</v>
      </c>
      <c r="F58" t="s">
        <v>50</v>
      </c>
      <c r="G58">
        <v>1</v>
      </c>
      <c r="H58">
        <v>0</v>
      </c>
      <c r="I58">
        <v>4200</v>
      </c>
      <c r="J58">
        <v>976.84</v>
      </c>
    </row>
    <row r="59" spans="1:10" x14ac:dyDescent="0.25">
      <c r="A59" t="s">
        <v>126</v>
      </c>
      <c r="B59" s="2">
        <v>46091</v>
      </c>
      <c r="C59" t="s">
        <v>44</v>
      </c>
      <c r="D59" t="s">
        <v>49</v>
      </c>
      <c r="E59" t="s">
        <v>13</v>
      </c>
      <c r="F59" t="s">
        <v>50</v>
      </c>
      <c r="G59">
        <v>3</v>
      </c>
      <c r="H59">
        <v>0</v>
      </c>
      <c r="I59">
        <v>2550</v>
      </c>
      <c r="J59">
        <v>430.59</v>
      </c>
    </row>
    <row r="60" spans="1:10" x14ac:dyDescent="0.25">
      <c r="A60" t="s">
        <v>127</v>
      </c>
      <c r="B60" s="2">
        <v>46074</v>
      </c>
      <c r="C60" t="s">
        <v>128</v>
      </c>
      <c r="D60" t="s">
        <v>49</v>
      </c>
      <c r="E60" t="s">
        <v>13</v>
      </c>
      <c r="F60" t="s">
        <v>19</v>
      </c>
      <c r="G60">
        <v>8</v>
      </c>
      <c r="H60">
        <v>0.05</v>
      </c>
      <c r="I60">
        <v>6460</v>
      </c>
      <c r="J60">
        <v>1000.88</v>
      </c>
    </row>
    <row r="61" spans="1:10" x14ac:dyDescent="0.25">
      <c r="A61" t="s">
        <v>129</v>
      </c>
      <c r="B61" s="2">
        <v>46191</v>
      </c>
      <c r="C61" t="s">
        <v>130</v>
      </c>
      <c r="D61" t="s">
        <v>69</v>
      </c>
      <c r="E61" t="s">
        <v>13</v>
      </c>
      <c r="F61" t="s">
        <v>29</v>
      </c>
      <c r="G61">
        <v>4</v>
      </c>
      <c r="H61">
        <v>0.1</v>
      </c>
      <c r="I61">
        <v>43200</v>
      </c>
      <c r="J61">
        <v>6872.56</v>
      </c>
    </row>
    <row r="62" spans="1:10" x14ac:dyDescent="0.25">
      <c r="A62" t="s">
        <v>131</v>
      </c>
      <c r="B62" s="2">
        <v>46187</v>
      </c>
      <c r="C62" t="s">
        <v>132</v>
      </c>
      <c r="D62" t="s">
        <v>62</v>
      </c>
      <c r="E62" t="s">
        <v>26</v>
      </c>
      <c r="F62" t="s">
        <v>29</v>
      </c>
      <c r="G62">
        <v>7</v>
      </c>
      <c r="H62">
        <v>0.05</v>
      </c>
      <c r="I62">
        <v>21280</v>
      </c>
      <c r="J62">
        <v>5725.65</v>
      </c>
    </row>
    <row r="63" spans="1:10" x14ac:dyDescent="0.25">
      <c r="A63" t="s">
        <v>133</v>
      </c>
      <c r="B63" s="2">
        <v>46171</v>
      </c>
      <c r="C63" t="s">
        <v>134</v>
      </c>
      <c r="D63" t="s">
        <v>40</v>
      </c>
      <c r="E63" t="s">
        <v>13</v>
      </c>
      <c r="F63" t="s">
        <v>29</v>
      </c>
      <c r="G63">
        <v>5</v>
      </c>
      <c r="H63">
        <v>0</v>
      </c>
      <c r="I63">
        <v>21000</v>
      </c>
      <c r="J63">
        <v>2509.7600000000002</v>
      </c>
    </row>
    <row r="64" spans="1:10" x14ac:dyDescent="0.25">
      <c r="A64" t="s">
        <v>135</v>
      </c>
      <c r="B64" s="2">
        <v>46134</v>
      </c>
      <c r="C64" t="s">
        <v>136</v>
      </c>
      <c r="D64" t="s">
        <v>62</v>
      </c>
      <c r="E64" t="s">
        <v>26</v>
      </c>
      <c r="F64" t="s">
        <v>29</v>
      </c>
      <c r="G64">
        <v>2</v>
      </c>
      <c r="H64">
        <v>0.1</v>
      </c>
      <c r="I64">
        <v>5760</v>
      </c>
      <c r="J64">
        <v>1508.61</v>
      </c>
    </row>
    <row r="65" spans="1:10" x14ac:dyDescent="0.25">
      <c r="A65" t="s">
        <v>137</v>
      </c>
      <c r="B65" s="2">
        <v>46204</v>
      </c>
      <c r="C65" t="s">
        <v>52</v>
      </c>
      <c r="D65" t="s">
        <v>69</v>
      </c>
      <c r="E65" t="s">
        <v>13</v>
      </c>
      <c r="F65" t="s">
        <v>19</v>
      </c>
      <c r="G65">
        <v>7</v>
      </c>
      <c r="H65">
        <v>0</v>
      </c>
      <c r="I65">
        <v>84000</v>
      </c>
      <c r="J65">
        <v>16261.2</v>
      </c>
    </row>
    <row r="66" spans="1:10" x14ac:dyDescent="0.25">
      <c r="A66" t="s">
        <v>138</v>
      </c>
      <c r="B66" s="2">
        <v>46133</v>
      </c>
      <c r="C66" t="s">
        <v>139</v>
      </c>
      <c r="D66" t="s">
        <v>62</v>
      </c>
      <c r="E66" t="s">
        <v>26</v>
      </c>
      <c r="F66" t="s">
        <v>14</v>
      </c>
      <c r="G66">
        <v>2</v>
      </c>
      <c r="H66">
        <v>0.05</v>
      </c>
      <c r="I66">
        <v>6080</v>
      </c>
      <c r="J66">
        <v>1289.98</v>
      </c>
    </row>
    <row r="67" spans="1:10" x14ac:dyDescent="0.25">
      <c r="A67" t="s">
        <v>140</v>
      </c>
      <c r="B67" s="2">
        <v>46152</v>
      </c>
      <c r="C67" t="s">
        <v>21</v>
      </c>
      <c r="D67" t="s">
        <v>34</v>
      </c>
      <c r="E67" t="s">
        <v>26</v>
      </c>
      <c r="F67" t="s">
        <v>29</v>
      </c>
      <c r="G67">
        <v>5</v>
      </c>
      <c r="H67">
        <v>0.1</v>
      </c>
      <c r="I67">
        <v>8100</v>
      </c>
      <c r="J67">
        <v>1285.57</v>
      </c>
    </row>
    <row r="68" spans="1:10" x14ac:dyDescent="0.25">
      <c r="A68" t="s">
        <v>141</v>
      </c>
      <c r="B68" s="2">
        <v>46055</v>
      </c>
      <c r="C68" t="s">
        <v>33</v>
      </c>
      <c r="D68" t="s">
        <v>17</v>
      </c>
      <c r="E68" t="s">
        <v>18</v>
      </c>
      <c r="F68" t="s">
        <v>19</v>
      </c>
      <c r="G68">
        <v>4</v>
      </c>
      <c r="H68">
        <v>0.1</v>
      </c>
      <c r="I68">
        <v>288</v>
      </c>
      <c r="J68">
        <v>63.27</v>
      </c>
    </row>
    <row r="69" spans="1:10" x14ac:dyDescent="0.25">
      <c r="A69" t="s">
        <v>142</v>
      </c>
      <c r="B69" s="2">
        <v>46168</v>
      </c>
      <c r="C69" t="s">
        <v>24</v>
      </c>
      <c r="D69" t="s">
        <v>42</v>
      </c>
      <c r="E69" t="s">
        <v>18</v>
      </c>
      <c r="F69" t="s">
        <v>29</v>
      </c>
      <c r="G69">
        <v>5</v>
      </c>
      <c r="H69">
        <v>0.1</v>
      </c>
      <c r="I69">
        <v>540</v>
      </c>
      <c r="J69">
        <v>107.26</v>
      </c>
    </row>
    <row r="70" spans="1:10" x14ac:dyDescent="0.25">
      <c r="A70" t="s">
        <v>143</v>
      </c>
      <c r="B70" s="2">
        <v>46076</v>
      </c>
      <c r="C70" t="s">
        <v>144</v>
      </c>
      <c r="D70" t="s">
        <v>34</v>
      </c>
      <c r="E70" t="s">
        <v>26</v>
      </c>
      <c r="F70" t="s">
        <v>19</v>
      </c>
      <c r="G70">
        <v>7</v>
      </c>
      <c r="H70">
        <v>0.05</v>
      </c>
      <c r="I70">
        <v>11970</v>
      </c>
      <c r="J70">
        <v>2198.86</v>
      </c>
    </row>
    <row r="71" spans="1:10" x14ac:dyDescent="0.25">
      <c r="A71" t="s">
        <v>145</v>
      </c>
      <c r="B71" s="2">
        <v>46144</v>
      </c>
      <c r="C71" t="s">
        <v>139</v>
      </c>
      <c r="D71" t="s">
        <v>17</v>
      </c>
      <c r="E71" t="s">
        <v>18</v>
      </c>
      <c r="F71" t="s">
        <v>22</v>
      </c>
      <c r="G71">
        <v>3</v>
      </c>
      <c r="H71">
        <v>0</v>
      </c>
      <c r="I71">
        <v>240</v>
      </c>
      <c r="J71">
        <v>36.26</v>
      </c>
    </row>
    <row r="72" spans="1:10" x14ac:dyDescent="0.25">
      <c r="A72" t="s">
        <v>146</v>
      </c>
      <c r="B72" s="2">
        <v>46046</v>
      </c>
      <c r="C72" t="s">
        <v>147</v>
      </c>
      <c r="D72" t="s">
        <v>62</v>
      </c>
      <c r="E72" t="s">
        <v>26</v>
      </c>
      <c r="F72" t="s">
        <v>19</v>
      </c>
      <c r="G72">
        <v>4</v>
      </c>
      <c r="H72">
        <v>0.05</v>
      </c>
      <c r="I72">
        <v>12160</v>
      </c>
      <c r="J72">
        <v>1707.69</v>
      </c>
    </row>
    <row r="73" spans="1:10" x14ac:dyDescent="0.25">
      <c r="A73" t="s">
        <v>148</v>
      </c>
      <c r="B73" s="2">
        <v>46034</v>
      </c>
      <c r="C73" t="s">
        <v>149</v>
      </c>
      <c r="D73" t="s">
        <v>69</v>
      </c>
      <c r="E73" t="s">
        <v>13</v>
      </c>
      <c r="F73" t="s">
        <v>14</v>
      </c>
      <c r="G73">
        <v>4</v>
      </c>
      <c r="H73">
        <v>0.1</v>
      </c>
      <c r="I73">
        <v>43200</v>
      </c>
      <c r="J73">
        <v>9073.27</v>
      </c>
    </row>
    <row r="74" spans="1:10" x14ac:dyDescent="0.25">
      <c r="A74" t="s">
        <v>150</v>
      </c>
      <c r="B74" s="2">
        <v>46129</v>
      </c>
      <c r="C74" t="s">
        <v>151</v>
      </c>
      <c r="D74" t="s">
        <v>57</v>
      </c>
      <c r="E74" t="s">
        <v>18</v>
      </c>
      <c r="F74" t="s">
        <v>19</v>
      </c>
      <c r="G74">
        <v>4</v>
      </c>
      <c r="H74">
        <v>0.1</v>
      </c>
      <c r="I74">
        <v>10080</v>
      </c>
      <c r="J74">
        <v>1905</v>
      </c>
    </row>
    <row r="75" spans="1:10" x14ac:dyDescent="0.25">
      <c r="A75" t="s">
        <v>152</v>
      </c>
      <c r="B75" s="2">
        <v>46050</v>
      </c>
      <c r="C75" t="s">
        <v>21</v>
      </c>
      <c r="D75" t="s">
        <v>69</v>
      </c>
      <c r="E75" t="s">
        <v>13</v>
      </c>
      <c r="F75" t="s">
        <v>22</v>
      </c>
      <c r="G75">
        <v>7</v>
      </c>
      <c r="H75">
        <v>0</v>
      </c>
      <c r="I75">
        <v>84000</v>
      </c>
      <c r="J75">
        <v>11059.41</v>
      </c>
    </row>
    <row r="76" spans="1:10" x14ac:dyDescent="0.25">
      <c r="A76" t="s">
        <v>153</v>
      </c>
      <c r="B76" s="2">
        <v>46035</v>
      </c>
      <c r="C76" t="s">
        <v>59</v>
      </c>
      <c r="D76" t="s">
        <v>57</v>
      </c>
      <c r="E76" t="s">
        <v>18</v>
      </c>
      <c r="F76" t="s">
        <v>22</v>
      </c>
      <c r="G76">
        <v>4</v>
      </c>
      <c r="H76">
        <v>0</v>
      </c>
      <c r="I76">
        <v>11200</v>
      </c>
      <c r="J76">
        <v>2040.23</v>
      </c>
    </row>
    <row r="77" spans="1:10" x14ac:dyDescent="0.25">
      <c r="A77" t="s">
        <v>154</v>
      </c>
      <c r="B77" s="2">
        <v>46175</v>
      </c>
      <c r="C77" t="s">
        <v>155</v>
      </c>
      <c r="D77" t="s">
        <v>17</v>
      </c>
      <c r="E77" t="s">
        <v>18</v>
      </c>
      <c r="F77" t="s">
        <v>22</v>
      </c>
      <c r="G77">
        <v>6</v>
      </c>
      <c r="H77">
        <v>0.1</v>
      </c>
      <c r="I77">
        <v>432</v>
      </c>
      <c r="J77">
        <v>90.84</v>
      </c>
    </row>
    <row r="78" spans="1:10" x14ac:dyDescent="0.25">
      <c r="A78" t="s">
        <v>156</v>
      </c>
      <c r="B78" s="2">
        <v>46163</v>
      </c>
      <c r="C78" t="s">
        <v>85</v>
      </c>
      <c r="D78" t="s">
        <v>25</v>
      </c>
      <c r="E78" t="s">
        <v>26</v>
      </c>
      <c r="F78" t="s">
        <v>50</v>
      </c>
      <c r="G78">
        <v>8</v>
      </c>
      <c r="H78">
        <v>0</v>
      </c>
      <c r="I78">
        <v>16800</v>
      </c>
      <c r="J78">
        <v>3928.81</v>
      </c>
    </row>
    <row r="79" spans="1:10" x14ac:dyDescent="0.25">
      <c r="A79" t="s">
        <v>157</v>
      </c>
      <c r="B79" s="2">
        <v>46086</v>
      </c>
      <c r="C79" t="s">
        <v>83</v>
      </c>
      <c r="D79" t="s">
        <v>34</v>
      </c>
      <c r="E79" t="s">
        <v>26</v>
      </c>
      <c r="F79" t="s">
        <v>50</v>
      </c>
      <c r="G79">
        <v>5</v>
      </c>
      <c r="H79">
        <v>0.1</v>
      </c>
      <c r="I79">
        <v>8100</v>
      </c>
      <c r="J79">
        <v>1723.8</v>
      </c>
    </row>
    <row r="80" spans="1:10" x14ac:dyDescent="0.25">
      <c r="A80" t="s">
        <v>158</v>
      </c>
      <c r="B80" s="2">
        <v>46096</v>
      </c>
      <c r="C80" t="s">
        <v>159</v>
      </c>
      <c r="D80" t="s">
        <v>12</v>
      </c>
      <c r="E80" t="s">
        <v>13</v>
      </c>
      <c r="F80" t="s">
        <v>14</v>
      </c>
      <c r="G80">
        <v>4</v>
      </c>
      <c r="H80">
        <v>0.05</v>
      </c>
      <c r="I80">
        <v>28500</v>
      </c>
      <c r="J80">
        <v>4572.8999999999996</v>
      </c>
    </row>
    <row r="81" spans="1:10" x14ac:dyDescent="0.25">
      <c r="A81" t="s">
        <v>160</v>
      </c>
      <c r="B81" s="2">
        <v>46061</v>
      </c>
      <c r="C81" t="s">
        <v>161</v>
      </c>
      <c r="D81" t="s">
        <v>40</v>
      </c>
      <c r="E81" t="s">
        <v>13</v>
      </c>
      <c r="F81" t="s">
        <v>19</v>
      </c>
      <c r="G81">
        <v>4</v>
      </c>
      <c r="H81">
        <v>0.1</v>
      </c>
      <c r="I81">
        <v>15120</v>
      </c>
      <c r="J81">
        <v>3400.65</v>
      </c>
    </row>
    <row r="82" spans="1:10" x14ac:dyDescent="0.25">
      <c r="A82" t="s">
        <v>162</v>
      </c>
      <c r="B82" s="2">
        <v>46129</v>
      </c>
      <c r="C82" t="s">
        <v>163</v>
      </c>
      <c r="D82" t="s">
        <v>12</v>
      </c>
      <c r="E82" t="s">
        <v>13</v>
      </c>
      <c r="F82" t="s">
        <v>14</v>
      </c>
      <c r="G82">
        <v>7</v>
      </c>
      <c r="H82">
        <v>0.05</v>
      </c>
      <c r="I82">
        <v>49875</v>
      </c>
      <c r="J82">
        <v>9858.7900000000009</v>
      </c>
    </row>
    <row r="83" spans="1:10" x14ac:dyDescent="0.25">
      <c r="A83" t="s">
        <v>164</v>
      </c>
      <c r="B83" s="2">
        <v>46130</v>
      </c>
      <c r="C83" t="s">
        <v>28</v>
      </c>
      <c r="D83" t="s">
        <v>49</v>
      </c>
      <c r="E83" t="s">
        <v>13</v>
      </c>
      <c r="F83" t="s">
        <v>22</v>
      </c>
      <c r="G83">
        <v>7</v>
      </c>
      <c r="H83">
        <v>0</v>
      </c>
      <c r="I83">
        <v>5950</v>
      </c>
      <c r="J83">
        <v>1512.56</v>
      </c>
    </row>
    <row r="84" spans="1:10" x14ac:dyDescent="0.25">
      <c r="A84" t="s">
        <v>165</v>
      </c>
      <c r="B84" s="2">
        <v>46145</v>
      </c>
      <c r="C84" t="s">
        <v>166</v>
      </c>
      <c r="D84" t="s">
        <v>25</v>
      </c>
      <c r="E84" t="s">
        <v>26</v>
      </c>
      <c r="F84" t="s">
        <v>50</v>
      </c>
      <c r="G84">
        <v>1</v>
      </c>
      <c r="H84">
        <v>0.05</v>
      </c>
      <c r="I84">
        <v>1995</v>
      </c>
      <c r="J84">
        <v>306.73</v>
      </c>
    </row>
    <row r="85" spans="1:10" x14ac:dyDescent="0.25">
      <c r="A85" t="s">
        <v>167</v>
      </c>
      <c r="B85" s="2">
        <v>46162</v>
      </c>
      <c r="C85" t="s">
        <v>134</v>
      </c>
      <c r="D85" t="s">
        <v>17</v>
      </c>
      <c r="E85" t="s">
        <v>18</v>
      </c>
      <c r="F85" t="s">
        <v>50</v>
      </c>
      <c r="G85">
        <v>4</v>
      </c>
      <c r="H85">
        <v>0.1</v>
      </c>
      <c r="I85">
        <v>288</v>
      </c>
      <c r="J85">
        <v>40.17</v>
      </c>
    </row>
    <row r="86" spans="1:10" x14ac:dyDescent="0.25">
      <c r="A86" t="s">
        <v>168</v>
      </c>
      <c r="B86" s="2">
        <v>46122</v>
      </c>
      <c r="C86" t="s">
        <v>59</v>
      </c>
      <c r="D86" t="s">
        <v>69</v>
      </c>
      <c r="E86" t="s">
        <v>13</v>
      </c>
      <c r="F86" t="s">
        <v>19</v>
      </c>
      <c r="G86">
        <v>6</v>
      </c>
      <c r="H86">
        <v>0.1</v>
      </c>
      <c r="I86">
        <v>64800</v>
      </c>
      <c r="J86">
        <v>14926.85</v>
      </c>
    </row>
    <row r="87" spans="1:10" x14ac:dyDescent="0.25">
      <c r="A87" t="s">
        <v>169</v>
      </c>
      <c r="B87" s="2">
        <v>46159</v>
      </c>
      <c r="C87" t="s">
        <v>139</v>
      </c>
      <c r="D87" t="s">
        <v>42</v>
      </c>
      <c r="E87" t="s">
        <v>18</v>
      </c>
      <c r="F87" t="s">
        <v>14</v>
      </c>
      <c r="G87">
        <v>1</v>
      </c>
      <c r="H87">
        <v>0.1</v>
      </c>
      <c r="I87">
        <v>108</v>
      </c>
      <c r="J87">
        <v>22.31</v>
      </c>
    </row>
    <row r="88" spans="1:10" x14ac:dyDescent="0.25">
      <c r="A88" t="s">
        <v>170</v>
      </c>
      <c r="B88" s="2">
        <v>46187</v>
      </c>
      <c r="C88" t="s">
        <v>91</v>
      </c>
      <c r="D88" t="s">
        <v>12</v>
      </c>
      <c r="E88" t="s">
        <v>13</v>
      </c>
      <c r="F88" t="s">
        <v>14</v>
      </c>
      <c r="G88">
        <v>7</v>
      </c>
      <c r="H88">
        <v>0</v>
      </c>
      <c r="I88">
        <v>52500</v>
      </c>
      <c r="J88">
        <v>13441.75</v>
      </c>
    </row>
    <row r="89" spans="1:10" x14ac:dyDescent="0.25">
      <c r="A89" t="s">
        <v>171</v>
      </c>
      <c r="B89" s="2">
        <v>46120</v>
      </c>
      <c r="C89" t="s">
        <v>89</v>
      </c>
      <c r="D89" t="s">
        <v>34</v>
      </c>
      <c r="E89" t="s">
        <v>26</v>
      </c>
      <c r="F89" t="s">
        <v>50</v>
      </c>
      <c r="G89">
        <v>6</v>
      </c>
      <c r="H89">
        <v>0</v>
      </c>
      <c r="I89">
        <v>10800</v>
      </c>
      <c r="J89">
        <v>1963.94</v>
      </c>
    </row>
    <row r="90" spans="1:10" x14ac:dyDescent="0.25">
      <c r="A90" t="s">
        <v>172</v>
      </c>
      <c r="B90" s="2">
        <v>46130</v>
      </c>
      <c r="C90" t="s">
        <v>111</v>
      </c>
      <c r="D90" t="s">
        <v>34</v>
      </c>
      <c r="E90" t="s">
        <v>26</v>
      </c>
      <c r="F90" t="s">
        <v>22</v>
      </c>
      <c r="G90">
        <v>5</v>
      </c>
      <c r="H90">
        <v>0</v>
      </c>
      <c r="I90">
        <v>9000</v>
      </c>
      <c r="J90">
        <v>1661.9</v>
      </c>
    </row>
    <row r="91" spans="1:10" x14ac:dyDescent="0.25">
      <c r="A91" t="s">
        <v>173</v>
      </c>
      <c r="B91" s="2">
        <v>46112</v>
      </c>
      <c r="C91" t="s">
        <v>174</v>
      </c>
      <c r="D91" t="s">
        <v>69</v>
      </c>
      <c r="E91" t="s">
        <v>13</v>
      </c>
      <c r="F91" t="s">
        <v>14</v>
      </c>
      <c r="G91">
        <v>4</v>
      </c>
      <c r="H91">
        <v>0</v>
      </c>
      <c r="I91">
        <v>48000</v>
      </c>
      <c r="J91">
        <v>11549.85</v>
      </c>
    </row>
    <row r="92" spans="1:10" x14ac:dyDescent="0.25">
      <c r="A92" t="s">
        <v>175</v>
      </c>
      <c r="B92" s="2">
        <v>46086</v>
      </c>
      <c r="C92" t="s">
        <v>94</v>
      </c>
      <c r="D92" t="s">
        <v>69</v>
      </c>
      <c r="E92" t="s">
        <v>13</v>
      </c>
      <c r="F92" t="s">
        <v>19</v>
      </c>
      <c r="G92">
        <v>4</v>
      </c>
      <c r="H92">
        <v>0</v>
      </c>
      <c r="I92">
        <v>48000</v>
      </c>
      <c r="J92">
        <v>10168.34</v>
      </c>
    </row>
    <row r="93" spans="1:10" x14ac:dyDescent="0.25">
      <c r="A93" t="s">
        <v>176</v>
      </c>
      <c r="B93" s="2">
        <v>46194</v>
      </c>
      <c r="C93" t="s">
        <v>177</v>
      </c>
      <c r="D93" t="s">
        <v>57</v>
      </c>
      <c r="E93" t="s">
        <v>18</v>
      </c>
      <c r="F93" t="s">
        <v>29</v>
      </c>
      <c r="G93">
        <v>2</v>
      </c>
      <c r="H93">
        <v>0</v>
      </c>
      <c r="I93">
        <v>5600</v>
      </c>
      <c r="J93">
        <v>1028.75</v>
      </c>
    </row>
    <row r="94" spans="1:10" x14ac:dyDescent="0.25">
      <c r="A94" t="s">
        <v>178</v>
      </c>
      <c r="B94" s="2">
        <v>46178</v>
      </c>
      <c r="C94" t="s">
        <v>179</v>
      </c>
      <c r="D94" t="s">
        <v>40</v>
      </c>
      <c r="E94" t="s">
        <v>13</v>
      </c>
      <c r="F94" t="s">
        <v>22</v>
      </c>
      <c r="G94">
        <v>2</v>
      </c>
      <c r="H94">
        <v>0</v>
      </c>
      <c r="I94">
        <v>8400</v>
      </c>
      <c r="J94">
        <v>2298.66</v>
      </c>
    </row>
    <row r="95" spans="1:10" x14ac:dyDescent="0.25">
      <c r="A95" t="s">
        <v>180</v>
      </c>
      <c r="B95" s="2">
        <v>46102</v>
      </c>
      <c r="C95" t="s">
        <v>147</v>
      </c>
      <c r="D95" t="s">
        <v>69</v>
      </c>
      <c r="E95" t="s">
        <v>13</v>
      </c>
      <c r="F95" t="s">
        <v>14</v>
      </c>
      <c r="G95">
        <v>7</v>
      </c>
      <c r="H95">
        <v>0.1</v>
      </c>
      <c r="I95">
        <v>75600</v>
      </c>
      <c r="J95">
        <v>20371.53</v>
      </c>
    </row>
    <row r="96" spans="1:10" x14ac:dyDescent="0.25">
      <c r="A96" t="s">
        <v>181</v>
      </c>
      <c r="B96" s="2">
        <v>46199</v>
      </c>
      <c r="C96" t="s">
        <v>182</v>
      </c>
      <c r="D96" t="s">
        <v>42</v>
      </c>
      <c r="E96" t="s">
        <v>18</v>
      </c>
      <c r="F96" t="s">
        <v>22</v>
      </c>
      <c r="G96">
        <v>4</v>
      </c>
      <c r="H96">
        <v>0</v>
      </c>
      <c r="I96">
        <v>480</v>
      </c>
      <c r="J96">
        <v>108.24</v>
      </c>
    </row>
    <row r="97" spans="1:10" x14ac:dyDescent="0.25">
      <c r="A97" t="s">
        <v>183</v>
      </c>
      <c r="B97" s="2">
        <v>46167</v>
      </c>
      <c r="C97" t="s">
        <v>139</v>
      </c>
      <c r="D97" t="s">
        <v>12</v>
      </c>
      <c r="E97" t="s">
        <v>13</v>
      </c>
      <c r="F97" t="s">
        <v>29</v>
      </c>
      <c r="G97">
        <v>1</v>
      </c>
      <c r="H97">
        <v>0.05</v>
      </c>
      <c r="I97">
        <v>7125</v>
      </c>
      <c r="J97">
        <v>1395.75</v>
      </c>
    </row>
    <row r="98" spans="1:10" x14ac:dyDescent="0.25">
      <c r="A98" t="s">
        <v>184</v>
      </c>
      <c r="B98" s="2">
        <v>46152</v>
      </c>
      <c r="C98" t="s">
        <v>71</v>
      </c>
      <c r="D98" t="s">
        <v>12</v>
      </c>
      <c r="E98" t="s">
        <v>13</v>
      </c>
      <c r="F98" t="s">
        <v>14</v>
      </c>
      <c r="G98">
        <v>6</v>
      </c>
      <c r="H98">
        <v>0</v>
      </c>
      <c r="I98">
        <v>45000</v>
      </c>
      <c r="J98">
        <v>11381.56</v>
      </c>
    </row>
    <row r="99" spans="1:10" x14ac:dyDescent="0.25">
      <c r="A99" t="s">
        <v>185</v>
      </c>
      <c r="B99" s="2">
        <v>46115</v>
      </c>
      <c r="C99" t="s">
        <v>186</v>
      </c>
      <c r="D99" t="s">
        <v>25</v>
      </c>
      <c r="E99" t="s">
        <v>26</v>
      </c>
      <c r="F99" t="s">
        <v>22</v>
      </c>
      <c r="G99">
        <v>8</v>
      </c>
      <c r="H99">
        <v>0</v>
      </c>
      <c r="I99">
        <v>16800</v>
      </c>
      <c r="J99">
        <v>2996.91</v>
      </c>
    </row>
    <row r="100" spans="1:10" x14ac:dyDescent="0.25">
      <c r="A100" t="s">
        <v>187</v>
      </c>
      <c r="B100" s="2">
        <v>46180</v>
      </c>
      <c r="C100" t="s">
        <v>186</v>
      </c>
      <c r="D100" t="s">
        <v>34</v>
      </c>
      <c r="E100" t="s">
        <v>26</v>
      </c>
      <c r="F100" t="s">
        <v>22</v>
      </c>
      <c r="G100">
        <v>8</v>
      </c>
      <c r="H100">
        <v>0.1</v>
      </c>
      <c r="I100">
        <v>12960</v>
      </c>
      <c r="J100">
        <v>2312.11</v>
      </c>
    </row>
    <row r="101" spans="1:10" x14ac:dyDescent="0.25">
      <c r="A101" t="s">
        <v>188</v>
      </c>
      <c r="B101" s="2">
        <v>46105</v>
      </c>
      <c r="C101" t="s">
        <v>77</v>
      </c>
      <c r="D101" t="s">
        <v>34</v>
      </c>
      <c r="E101" t="s">
        <v>26</v>
      </c>
      <c r="F101" t="s">
        <v>19</v>
      </c>
      <c r="G101">
        <v>4</v>
      </c>
      <c r="H101">
        <v>0</v>
      </c>
      <c r="I101">
        <v>7200</v>
      </c>
      <c r="J101">
        <v>1081.49</v>
      </c>
    </row>
    <row r="102" spans="1:10" x14ac:dyDescent="0.25">
      <c r="A102" t="s">
        <v>189</v>
      </c>
      <c r="B102" s="2">
        <v>46168</v>
      </c>
      <c r="C102" t="s">
        <v>190</v>
      </c>
      <c r="D102" t="s">
        <v>57</v>
      </c>
      <c r="E102" t="s">
        <v>18</v>
      </c>
      <c r="F102" t="s">
        <v>19</v>
      </c>
      <c r="G102">
        <v>7</v>
      </c>
      <c r="H102">
        <v>0.05</v>
      </c>
      <c r="I102">
        <v>18620</v>
      </c>
      <c r="J102">
        <v>1958.19</v>
      </c>
    </row>
    <row r="103" spans="1:10" x14ac:dyDescent="0.25">
      <c r="A103" t="s">
        <v>191</v>
      </c>
      <c r="B103" s="2">
        <v>46077</v>
      </c>
      <c r="C103" t="s">
        <v>192</v>
      </c>
      <c r="D103" t="s">
        <v>57</v>
      </c>
      <c r="E103" t="s">
        <v>18</v>
      </c>
      <c r="F103" t="s">
        <v>29</v>
      </c>
      <c r="G103">
        <v>6</v>
      </c>
      <c r="H103">
        <v>0.05</v>
      </c>
      <c r="I103">
        <v>15960</v>
      </c>
      <c r="J103">
        <v>2573.73</v>
      </c>
    </row>
    <row r="104" spans="1:10" x14ac:dyDescent="0.25">
      <c r="A104" t="s">
        <v>193</v>
      </c>
      <c r="B104" s="2">
        <v>46025</v>
      </c>
      <c r="C104" t="s">
        <v>87</v>
      </c>
      <c r="D104" t="s">
        <v>17</v>
      </c>
      <c r="E104" t="s">
        <v>18</v>
      </c>
      <c r="F104" t="s">
        <v>50</v>
      </c>
      <c r="G104">
        <v>4</v>
      </c>
      <c r="H104">
        <v>0</v>
      </c>
      <c r="I104">
        <v>320</v>
      </c>
      <c r="J104">
        <v>45.9</v>
      </c>
    </row>
    <row r="105" spans="1:10" x14ac:dyDescent="0.25">
      <c r="A105" t="s">
        <v>194</v>
      </c>
      <c r="B105" s="2">
        <v>46084</v>
      </c>
      <c r="C105" t="s">
        <v>195</v>
      </c>
      <c r="D105" t="s">
        <v>17</v>
      </c>
      <c r="E105" t="s">
        <v>18</v>
      </c>
      <c r="F105" t="s">
        <v>14</v>
      </c>
      <c r="G105">
        <v>8</v>
      </c>
      <c r="H105">
        <v>0.1</v>
      </c>
      <c r="I105">
        <v>576</v>
      </c>
      <c r="J105">
        <v>104.07</v>
      </c>
    </row>
    <row r="106" spans="1:10" x14ac:dyDescent="0.25">
      <c r="A106" t="s">
        <v>196</v>
      </c>
      <c r="B106" s="2">
        <v>46079</v>
      </c>
      <c r="C106" t="s">
        <v>99</v>
      </c>
      <c r="D106" t="s">
        <v>34</v>
      </c>
      <c r="E106" t="s">
        <v>26</v>
      </c>
      <c r="F106" t="s">
        <v>29</v>
      </c>
      <c r="G106">
        <v>7</v>
      </c>
      <c r="H106">
        <v>0</v>
      </c>
      <c r="I106">
        <v>12600</v>
      </c>
      <c r="J106">
        <v>1954.48</v>
      </c>
    </row>
    <row r="107" spans="1:10" x14ac:dyDescent="0.25">
      <c r="A107" t="s">
        <v>197</v>
      </c>
      <c r="B107" s="2">
        <v>46164</v>
      </c>
      <c r="C107" t="s">
        <v>79</v>
      </c>
      <c r="D107" t="s">
        <v>57</v>
      </c>
      <c r="E107" t="s">
        <v>18</v>
      </c>
      <c r="F107" t="s">
        <v>29</v>
      </c>
      <c r="G107">
        <v>6</v>
      </c>
      <c r="H107">
        <v>0.1</v>
      </c>
      <c r="I107">
        <v>15120</v>
      </c>
      <c r="J107">
        <v>4224.43</v>
      </c>
    </row>
    <row r="108" spans="1:10" x14ac:dyDescent="0.25">
      <c r="A108" t="s">
        <v>198</v>
      </c>
      <c r="B108" s="2">
        <v>46202</v>
      </c>
      <c r="C108" t="s">
        <v>128</v>
      </c>
      <c r="D108" t="s">
        <v>62</v>
      </c>
      <c r="E108" t="s">
        <v>26</v>
      </c>
      <c r="F108" t="s">
        <v>14</v>
      </c>
      <c r="G108">
        <v>8</v>
      </c>
      <c r="H108">
        <v>0.05</v>
      </c>
      <c r="I108">
        <v>24320</v>
      </c>
      <c r="J108">
        <v>3774.27</v>
      </c>
    </row>
    <row r="109" spans="1:10" x14ac:dyDescent="0.25">
      <c r="A109" t="s">
        <v>199</v>
      </c>
      <c r="B109" s="2">
        <v>46103</v>
      </c>
      <c r="C109" t="s">
        <v>11</v>
      </c>
      <c r="D109" t="s">
        <v>49</v>
      </c>
      <c r="E109" t="s">
        <v>13</v>
      </c>
      <c r="F109" t="s">
        <v>50</v>
      </c>
      <c r="G109">
        <v>2</v>
      </c>
      <c r="H109">
        <v>0</v>
      </c>
      <c r="I109">
        <v>1700</v>
      </c>
      <c r="J109">
        <v>228.61</v>
      </c>
    </row>
    <row r="110" spans="1:10" x14ac:dyDescent="0.25">
      <c r="A110" t="s">
        <v>200</v>
      </c>
      <c r="B110" s="2">
        <v>46173</v>
      </c>
      <c r="C110" t="s">
        <v>201</v>
      </c>
      <c r="D110" t="s">
        <v>34</v>
      </c>
      <c r="E110" t="s">
        <v>26</v>
      </c>
      <c r="F110" t="s">
        <v>19</v>
      </c>
      <c r="G110">
        <v>5</v>
      </c>
      <c r="H110">
        <v>0</v>
      </c>
      <c r="I110">
        <v>9000</v>
      </c>
      <c r="J110">
        <v>2248.86</v>
      </c>
    </row>
    <row r="111" spans="1:10" x14ac:dyDescent="0.25">
      <c r="A111" t="s">
        <v>202</v>
      </c>
      <c r="B111" s="2">
        <v>46068</v>
      </c>
      <c r="C111" t="s">
        <v>203</v>
      </c>
      <c r="D111" t="s">
        <v>62</v>
      </c>
      <c r="E111" t="s">
        <v>26</v>
      </c>
      <c r="F111" t="s">
        <v>29</v>
      </c>
      <c r="G111">
        <v>5</v>
      </c>
      <c r="H111">
        <v>0</v>
      </c>
      <c r="I111">
        <v>16000</v>
      </c>
      <c r="J111">
        <v>3639.09</v>
      </c>
    </row>
    <row r="112" spans="1:10" x14ac:dyDescent="0.25">
      <c r="A112" t="s">
        <v>204</v>
      </c>
      <c r="B112" s="2">
        <v>46036</v>
      </c>
      <c r="C112" t="s">
        <v>75</v>
      </c>
      <c r="D112" t="s">
        <v>69</v>
      </c>
      <c r="E112" t="s">
        <v>13</v>
      </c>
      <c r="F112" t="s">
        <v>50</v>
      </c>
      <c r="G112">
        <v>5</v>
      </c>
      <c r="H112">
        <v>0</v>
      </c>
      <c r="I112">
        <v>60000</v>
      </c>
      <c r="J112">
        <v>12888.99</v>
      </c>
    </row>
    <row r="113" spans="1:10" x14ac:dyDescent="0.25">
      <c r="A113" t="s">
        <v>205</v>
      </c>
      <c r="B113" s="2">
        <v>46026</v>
      </c>
      <c r="C113" t="s">
        <v>89</v>
      </c>
      <c r="D113" t="s">
        <v>12</v>
      </c>
      <c r="E113" t="s">
        <v>13</v>
      </c>
      <c r="F113" t="s">
        <v>19</v>
      </c>
      <c r="G113">
        <v>5</v>
      </c>
      <c r="H113">
        <v>0.1</v>
      </c>
      <c r="I113">
        <v>33750</v>
      </c>
      <c r="J113">
        <v>6283.19</v>
      </c>
    </row>
    <row r="114" spans="1:10" x14ac:dyDescent="0.25">
      <c r="A114" t="s">
        <v>206</v>
      </c>
      <c r="B114" s="2">
        <v>46087</v>
      </c>
      <c r="C114" t="s">
        <v>207</v>
      </c>
      <c r="D114" t="s">
        <v>69</v>
      </c>
      <c r="E114" t="s">
        <v>13</v>
      </c>
      <c r="F114" t="s">
        <v>50</v>
      </c>
      <c r="G114">
        <v>8</v>
      </c>
      <c r="H114">
        <v>0</v>
      </c>
      <c r="I114">
        <v>96000</v>
      </c>
      <c r="J114">
        <v>23806.16</v>
      </c>
    </row>
    <row r="115" spans="1:10" x14ac:dyDescent="0.25">
      <c r="A115" t="s">
        <v>208</v>
      </c>
      <c r="B115" s="2">
        <v>46170</v>
      </c>
      <c r="C115" t="s">
        <v>46</v>
      </c>
      <c r="D115" t="s">
        <v>12</v>
      </c>
      <c r="E115" t="s">
        <v>13</v>
      </c>
      <c r="F115" t="s">
        <v>29</v>
      </c>
      <c r="G115">
        <v>1</v>
      </c>
      <c r="H115">
        <v>0</v>
      </c>
      <c r="I115">
        <v>7500</v>
      </c>
      <c r="J115">
        <v>951.42</v>
      </c>
    </row>
    <row r="116" spans="1:10" x14ac:dyDescent="0.25">
      <c r="A116" t="s">
        <v>209</v>
      </c>
      <c r="B116" s="2">
        <v>46086</v>
      </c>
      <c r="C116" t="s">
        <v>210</v>
      </c>
      <c r="D116" t="s">
        <v>12</v>
      </c>
      <c r="E116" t="s">
        <v>13</v>
      </c>
      <c r="F116" t="s">
        <v>19</v>
      </c>
      <c r="G116">
        <v>2</v>
      </c>
      <c r="H116">
        <v>0.1</v>
      </c>
      <c r="I116">
        <v>13500</v>
      </c>
      <c r="J116">
        <v>2823.35</v>
      </c>
    </row>
    <row r="117" spans="1:10" x14ac:dyDescent="0.25">
      <c r="A117" t="s">
        <v>211</v>
      </c>
      <c r="B117" s="2">
        <v>46120</v>
      </c>
      <c r="C117" t="s">
        <v>212</v>
      </c>
      <c r="D117" t="s">
        <v>17</v>
      </c>
      <c r="E117" t="s">
        <v>18</v>
      </c>
      <c r="F117" t="s">
        <v>50</v>
      </c>
      <c r="G117">
        <v>8</v>
      </c>
      <c r="H117">
        <v>0.1</v>
      </c>
      <c r="I117">
        <v>576</v>
      </c>
      <c r="J117">
        <v>88.43</v>
      </c>
    </row>
    <row r="118" spans="1:10" x14ac:dyDescent="0.25">
      <c r="A118" t="s">
        <v>213</v>
      </c>
      <c r="B118" s="2">
        <v>46168</v>
      </c>
      <c r="C118" t="s">
        <v>113</v>
      </c>
      <c r="D118" t="s">
        <v>34</v>
      </c>
      <c r="E118" t="s">
        <v>26</v>
      </c>
      <c r="F118" t="s">
        <v>19</v>
      </c>
      <c r="G118">
        <v>1</v>
      </c>
      <c r="H118">
        <v>0</v>
      </c>
      <c r="I118">
        <v>1800</v>
      </c>
      <c r="J118">
        <v>487.02</v>
      </c>
    </row>
    <row r="119" spans="1:10" x14ac:dyDescent="0.25">
      <c r="A119" t="s">
        <v>214</v>
      </c>
      <c r="B119" s="2">
        <v>46192</v>
      </c>
      <c r="C119" t="s">
        <v>79</v>
      </c>
      <c r="D119" t="s">
        <v>34</v>
      </c>
      <c r="E119" t="s">
        <v>26</v>
      </c>
      <c r="F119" t="s">
        <v>14</v>
      </c>
      <c r="G119">
        <v>2</v>
      </c>
      <c r="H119">
        <v>0</v>
      </c>
      <c r="I119">
        <v>3600</v>
      </c>
      <c r="J119">
        <v>515.42999999999995</v>
      </c>
    </row>
    <row r="120" spans="1:10" x14ac:dyDescent="0.25">
      <c r="A120" t="s">
        <v>215</v>
      </c>
      <c r="B120" s="2">
        <v>46023</v>
      </c>
      <c r="C120" t="s">
        <v>85</v>
      </c>
      <c r="D120" t="s">
        <v>40</v>
      </c>
      <c r="E120" t="s">
        <v>13</v>
      </c>
      <c r="F120" t="s">
        <v>29</v>
      </c>
      <c r="G120">
        <v>7</v>
      </c>
      <c r="H120">
        <v>0.1</v>
      </c>
      <c r="I120">
        <v>26460</v>
      </c>
      <c r="J120">
        <v>5929.34</v>
      </c>
    </row>
    <row r="121" spans="1:10" x14ac:dyDescent="0.25">
      <c r="A121" t="s">
        <v>216</v>
      </c>
      <c r="B121" s="2">
        <v>46082</v>
      </c>
      <c r="C121" t="s">
        <v>38</v>
      </c>
      <c r="D121" t="s">
        <v>69</v>
      </c>
      <c r="E121" t="s">
        <v>13</v>
      </c>
      <c r="F121" t="s">
        <v>14</v>
      </c>
      <c r="G121">
        <v>5</v>
      </c>
      <c r="H121">
        <v>0.05</v>
      </c>
      <c r="I121">
        <v>57000</v>
      </c>
      <c r="J121">
        <v>12912.65</v>
      </c>
    </row>
    <row r="122" spans="1:10" x14ac:dyDescent="0.25">
      <c r="A122" t="s">
        <v>217</v>
      </c>
      <c r="B122" s="2">
        <v>46090</v>
      </c>
      <c r="C122" t="s">
        <v>218</v>
      </c>
      <c r="D122" t="s">
        <v>49</v>
      </c>
      <c r="E122" t="s">
        <v>13</v>
      </c>
      <c r="F122" t="s">
        <v>19</v>
      </c>
      <c r="G122">
        <v>4</v>
      </c>
      <c r="H122">
        <v>0.1</v>
      </c>
      <c r="I122">
        <v>3060</v>
      </c>
      <c r="J122">
        <v>369.22</v>
      </c>
    </row>
    <row r="123" spans="1:10" x14ac:dyDescent="0.25">
      <c r="A123" t="s">
        <v>219</v>
      </c>
      <c r="B123" s="2">
        <v>46059</v>
      </c>
      <c r="C123" t="s">
        <v>220</v>
      </c>
      <c r="D123" t="s">
        <v>34</v>
      </c>
      <c r="E123" t="s">
        <v>26</v>
      </c>
      <c r="F123" t="s">
        <v>22</v>
      </c>
      <c r="G123">
        <v>2</v>
      </c>
      <c r="H123">
        <v>0</v>
      </c>
      <c r="I123">
        <v>3600</v>
      </c>
      <c r="J123">
        <v>467.52</v>
      </c>
    </row>
    <row r="124" spans="1:10" x14ac:dyDescent="0.25">
      <c r="A124" t="s">
        <v>221</v>
      </c>
      <c r="B124" s="2">
        <v>46096</v>
      </c>
      <c r="C124" t="s">
        <v>182</v>
      </c>
      <c r="D124" t="s">
        <v>42</v>
      </c>
      <c r="E124" t="s">
        <v>18</v>
      </c>
      <c r="F124" t="s">
        <v>50</v>
      </c>
      <c r="G124">
        <v>8</v>
      </c>
      <c r="H124">
        <v>0</v>
      </c>
      <c r="I124">
        <v>960</v>
      </c>
      <c r="J124">
        <v>176.99</v>
      </c>
    </row>
    <row r="125" spans="1:10" x14ac:dyDescent="0.25">
      <c r="A125" t="s">
        <v>222</v>
      </c>
      <c r="B125" s="2">
        <v>46151</v>
      </c>
      <c r="C125" t="s">
        <v>36</v>
      </c>
      <c r="D125" t="s">
        <v>34</v>
      </c>
      <c r="E125" t="s">
        <v>26</v>
      </c>
      <c r="F125" t="s">
        <v>50</v>
      </c>
      <c r="G125">
        <v>8</v>
      </c>
      <c r="H125">
        <v>0.1</v>
      </c>
      <c r="I125">
        <v>12960</v>
      </c>
      <c r="J125">
        <v>1483.65</v>
      </c>
    </row>
    <row r="126" spans="1:10" x14ac:dyDescent="0.25">
      <c r="A126" t="s">
        <v>223</v>
      </c>
      <c r="B126" s="2">
        <v>46177</v>
      </c>
      <c r="C126" t="s">
        <v>224</v>
      </c>
      <c r="D126" t="s">
        <v>62</v>
      </c>
      <c r="E126" t="s">
        <v>26</v>
      </c>
      <c r="F126" t="s">
        <v>22</v>
      </c>
      <c r="G126">
        <v>5</v>
      </c>
      <c r="H126">
        <v>0</v>
      </c>
      <c r="I126">
        <v>16000</v>
      </c>
      <c r="J126">
        <v>1863.02</v>
      </c>
    </row>
    <row r="127" spans="1:10" x14ac:dyDescent="0.25">
      <c r="A127" t="s">
        <v>225</v>
      </c>
      <c r="B127" s="2">
        <v>46028</v>
      </c>
      <c r="C127" t="s">
        <v>226</v>
      </c>
      <c r="D127" t="s">
        <v>42</v>
      </c>
      <c r="E127" t="s">
        <v>18</v>
      </c>
      <c r="F127" t="s">
        <v>50</v>
      </c>
      <c r="G127">
        <v>5</v>
      </c>
      <c r="H127">
        <v>0</v>
      </c>
      <c r="I127">
        <v>600</v>
      </c>
      <c r="J127">
        <v>142.41999999999999</v>
      </c>
    </row>
    <row r="128" spans="1:10" x14ac:dyDescent="0.25">
      <c r="A128" t="s">
        <v>227</v>
      </c>
      <c r="B128" s="2">
        <v>46189</v>
      </c>
      <c r="C128" t="s">
        <v>99</v>
      </c>
      <c r="D128" t="s">
        <v>17</v>
      </c>
      <c r="E128" t="s">
        <v>18</v>
      </c>
      <c r="F128" t="s">
        <v>50</v>
      </c>
      <c r="G128">
        <v>8</v>
      </c>
      <c r="H128">
        <v>0.05</v>
      </c>
      <c r="I128">
        <v>608</v>
      </c>
      <c r="J128">
        <v>80.66</v>
      </c>
    </row>
    <row r="129" spans="1:10" x14ac:dyDescent="0.25">
      <c r="A129" t="s">
        <v>228</v>
      </c>
      <c r="B129" s="2">
        <v>46046</v>
      </c>
      <c r="C129" t="s">
        <v>190</v>
      </c>
      <c r="D129" t="s">
        <v>57</v>
      </c>
      <c r="E129" t="s">
        <v>18</v>
      </c>
      <c r="F129" t="s">
        <v>14</v>
      </c>
      <c r="G129">
        <v>8</v>
      </c>
      <c r="H129">
        <v>0.05</v>
      </c>
      <c r="I129">
        <v>21280</v>
      </c>
      <c r="J129">
        <v>3692.14</v>
      </c>
    </row>
    <row r="130" spans="1:10" x14ac:dyDescent="0.25">
      <c r="A130" t="s">
        <v>229</v>
      </c>
      <c r="B130" s="2">
        <v>46107</v>
      </c>
      <c r="C130" t="s">
        <v>207</v>
      </c>
      <c r="D130" t="s">
        <v>40</v>
      </c>
      <c r="E130" t="s">
        <v>13</v>
      </c>
      <c r="F130" t="s">
        <v>22</v>
      </c>
      <c r="G130">
        <v>7</v>
      </c>
      <c r="H130">
        <v>0.1</v>
      </c>
      <c r="I130">
        <v>26460</v>
      </c>
      <c r="J130">
        <v>4018.72</v>
      </c>
    </row>
    <row r="131" spans="1:10" x14ac:dyDescent="0.25">
      <c r="A131" t="s">
        <v>230</v>
      </c>
      <c r="B131" s="2">
        <v>46139</v>
      </c>
      <c r="C131" t="s">
        <v>132</v>
      </c>
      <c r="D131" t="s">
        <v>69</v>
      </c>
      <c r="E131" t="s">
        <v>13</v>
      </c>
      <c r="F131" t="s">
        <v>50</v>
      </c>
      <c r="G131">
        <v>2</v>
      </c>
      <c r="H131">
        <v>0.05</v>
      </c>
      <c r="I131">
        <v>22800</v>
      </c>
      <c r="J131">
        <v>3315.84</v>
      </c>
    </row>
    <row r="132" spans="1:10" x14ac:dyDescent="0.25">
      <c r="A132" t="s">
        <v>231</v>
      </c>
      <c r="B132" s="2">
        <v>46023</v>
      </c>
      <c r="C132" t="s">
        <v>232</v>
      </c>
      <c r="D132" t="s">
        <v>17</v>
      </c>
      <c r="E132" t="s">
        <v>18</v>
      </c>
      <c r="F132" t="s">
        <v>29</v>
      </c>
      <c r="G132">
        <v>8</v>
      </c>
      <c r="H132">
        <v>0.1</v>
      </c>
      <c r="I132">
        <v>576</v>
      </c>
      <c r="J132">
        <v>63.22</v>
      </c>
    </row>
    <row r="133" spans="1:10" x14ac:dyDescent="0.25">
      <c r="A133" t="s">
        <v>233</v>
      </c>
      <c r="B133" s="2">
        <v>46150</v>
      </c>
      <c r="C133" t="s">
        <v>79</v>
      </c>
      <c r="D133" t="s">
        <v>42</v>
      </c>
      <c r="E133" t="s">
        <v>18</v>
      </c>
      <c r="F133" t="s">
        <v>19</v>
      </c>
      <c r="G133">
        <v>8</v>
      </c>
      <c r="H133">
        <v>0</v>
      </c>
      <c r="I133">
        <v>960</v>
      </c>
      <c r="J133">
        <v>131.16999999999999</v>
      </c>
    </row>
    <row r="134" spans="1:10" x14ac:dyDescent="0.25">
      <c r="A134" t="s">
        <v>234</v>
      </c>
      <c r="B134" s="2">
        <v>46135</v>
      </c>
      <c r="C134" t="s">
        <v>235</v>
      </c>
      <c r="D134" t="s">
        <v>34</v>
      </c>
      <c r="E134" t="s">
        <v>26</v>
      </c>
      <c r="F134" t="s">
        <v>22</v>
      </c>
      <c r="G134">
        <v>8</v>
      </c>
      <c r="H134">
        <v>0</v>
      </c>
      <c r="I134">
        <v>14400</v>
      </c>
      <c r="J134">
        <v>1514.83</v>
      </c>
    </row>
    <row r="135" spans="1:10" x14ac:dyDescent="0.25">
      <c r="A135" t="s">
        <v>236</v>
      </c>
      <c r="B135" s="2">
        <v>46204</v>
      </c>
      <c r="C135" t="s">
        <v>79</v>
      </c>
      <c r="D135" t="s">
        <v>49</v>
      </c>
      <c r="E135" t="s">
        <v>13</v>
      </c>
      <c r="F135" t="s">
        <v>50</v>
      </c>
      <c r="G135">
        <v>3</v>
      </c>
      <c r="H135">
        <v>0.05</v>
      </c>
      <c r="I135">
        <v>2422.5</v>
      </c>
      <c r="J135">
        <v>482.44</v>
      </c>
    </row>
    <row r="136" spans="1:10" x14ac:dyDescent="0.25">
      <c r="A136" t="s">
        <v>237</v>
      </c>
      <c r="B136" s="2">
        <v>46080</v>
      </c>
      <c r="C136" t="s">
        <v>48</v>
      </c>
      <c r="D136" t="s">
        <v>12</v>
      </c>
      <c r="E136" t="s">
        <v>13</v>
      </c>
      <c r="F136" t="s">
        <v>19</v>
      </c>
      <c r="G136">
        <v>2</v>
      </c>
      <c r="H136">
        <v>0.1</v>
      </c>
      <c r="I136">
        <v>13500</v>
      </c>
      <c r="J136">
        <v>3651.36</v>
      </c>
    </row>
    <row r="137" spans="1:10" x14ac:dyDescent="0.25">
      <c r="A137" t="s">
        <v>238</v>
      </c>
      <c r="B137" s="2">
        <v>46097</v>
      </c>
      <c r="C137" t="s">
        <v>85</v>
      </c>
      <c r="D137" t="s">
        <v>57</v>
      </c>
      <c r="E137" t="s">
        <v>18</v>
      </c>
      <c r="F137" t="s">
        <v>19</v>
      </c>
      <c r="G137">
        <v>5</v>
      </c>
      <c r="H137">
        <v>0.1</v>
      </c>
      <c r="I137">
        <v>12600</v>
      </c>
      <c r="J137">
        <v>3153.15</v>
      </c>
    </row>
    <row r="138" spans="1:10" x14ac:dyDescent="0.25">
      <c r="A138" t="s">
        <v>239</v>
      </c>
      <c r="B138" s="2">
        <v>46164</v>
      </c>
      <c r="C138" t="s">
        <v>192</v>
      </c>
      <c r="D138" t="s">
        <v>57</v>
      </c>
      <c r="E138" t="s">
        <v>18</v>
      </c>
      <c r="F138" t="s">
        <v>22</v>
      </c>
      <c r="G138">
        <v>3</v>
      </c>
      <c r="H138">
        <v>0.1</v>
      </c>
      <c r="I138">
        <v>7560</v>
      </c>
      <c r="J138">
        <v>1015.38</v>
      </c>
    </row>
    <row r="139" spans="1:10" x14ac:dyDescent="0.25">
      <c r="A139" t="s">
        <v>240</v>
      </c>
      <c r="B139" s="2">
        <v>46040</v>
      </c>
      <c r="C139" t="s">
        <v>64</v>
      </c>
      <c r="D139" t="s">
        <v>40</v>
      </c>
      <c r="E139" t="s">
        <v>13</v>
      </c>
      <c r="F139" t="s">
        <v>29</v>
      </c>
      <c r="G139">
        <v>5</v>
      </c>
      <c r="H139">
        <v>0.1</v>
      </c>
      <c r="I139">
        <v>18900</v>
      </c>
      <c r="J139">
        <v>3046.26</v>
      </c>
    </row>
    <row r="140" spans="1:10" x14ac:dyDescent="0.25">
      <c r="A140" t="s">
        <v>241</v>
      </c>
      <c r="B140" s="2">
        <v>46095</v>
      </c>
      <c r="C140" t="s">
        <v>77</v>
      </c>
      <c r="D140" t="s">
        <v>69</v>
      </c>
      <c r="E140" t="s">
        <v>13</v>
      </c>
      <c r="F140" t="s">
        <v>22</v>
      </c>
      <c r="G140">
        <v>5</v>
      </c>
      <c r="H140">
        <v>0.1</v>
      </c>
      <c r="I140">
        <v>54000</v>
      </c>
      <c r="J140">
        <v>13810.33</v>
      </c>
    </row>
    <row r="141" spans="1:10" x14ac:dyDescent="0.25">
      <c r="A141" t="s">
        <v>242</v>
      </c>
      <c r="B141" s="2">
        <v>46111</v>
      </c>
      <c r="C141" t="s">
        <v>190</v>
      </c>
      <c r="D141" t="s">
        <v>57</v>
      </c>
      <c r="E141" t="s">
        <v>18</v>
      </c>
      <c r="F141" t="s">
        <v>19</v>
      </c>
      <c r="G141">
        <v>6</v>
      </c>
      <c r="H141">
        <v>0.1</v>
      </c>
      <c r="I141">
        <v>15120</v>
      </c>
      <c r="J141">
        <v>2751.27</v>
      </c>
    </row>
    <row r="142" spans="1:10" x14ac:dyDescent="0.25">
      <c r="A142" t="s">
        <v>243</v>
      </c>
      <c r="B142" s="2">
        <v>46169</v>
      </c>
      <c r="C142" t="s">
        <v>87</v>
      </c>
      <c r="D142" t="s">
        <v>49</v>
      </c>
      <c r="E142" t="s">
        <v>13</v>
      </c>
      <c r="F142" t="s">
        <v>14</v>
      </c>
      <c r="G142">
        <v>7</v>
      </c>
      <c r="H142">
        <v>0</v>
      </c>
      <c r="I142">
        <v>5950</v>
      </c>
      <c r="J142">
        <v>1511.79</v>
      </c>
    </row>
    <row r="143" spans="1:10" x14ac:dyDescent="0.25">
      <c r="A143" t="s">
        <v>244</v>
      </c>
      <c r="B143" s="2">
        <v>46144</v>
      </c>
      <c r="C143" t="s">
        <v>174</v>
      </c>
      <c r="D143" t="s">
        <v>62</v>
      </c>
      <c r="E143" t="s">
        <v>26</v>
      </c>
      <c r="F143" t="s">
        <v>19</v>
      </c>
      <c r="G143">
        <v>7</v>
      </c>
      <c r="H143">
        <v>0.1</v>
      </c>
      <c r="I143">
        <v>20160</v>
      </c>
      <c r="J143">
        <v>5602.76</v>
      </c>
    </row>
    <row r="144" spans="1:10" x14ac:dyDescent="0.25">
      <c r="A144" t="s">
        <v>245</v>
      </c>
      <c r="B144" s="2">
        <v>46032</v>
      </c>
      <c r="C144" t="s">
        <v>144</v>
      </c>
      <c r="D144" t="s">
        <v>57</v>
      </c>
      <c r="E144" t="s">
        <v>18</v>
      </c>
      <c r="F144" t="s">
        <v>14</v>
      </c>
      <c r="G144">
        <v>3</v>
      </c>
      <c r="H144">
        <v>0.05</v>
      </c>
      <c r="I144">
        <v>7980</v>
      </c>
      <c r="J144">
        <v>2047.24</v>
      </c>
    </row>
    <row r="145" spans="1:10" x14ac:dyDescent="0.25">
      <c r="A145" t="s">
        <v>246</v>
      </c>
      <c r="B145" s="2">
        <v>46139</v>
      </c>
      <c r="C145" t="s">
        <v>174</v>
      </c>
      <c r="D145" t="s">
        <v>17</v>
      </c>
      <c r="E145" t="s">
        <v>18</v>
      </c>
      <c r="F145" t="s">
        <v>19</v>
      </c>
      <c r="G145">
        <v>1</v>
      </c>
      <c r="H145">
        <v>0</v>
      </c>
      <c r="I145">
        <v>80</v>
      </c>
      <c r="J145">
        <v>13.9</v>
      </c>
    </row>
    <row r="146" spans="1:10" x14ac:dyDescent="0.25">
      <c r="A146" t="s">
        <v>247</v>
      </c>
      <c r="B146" s="2">
        <v>46143</v>
      </c>
      <c r="C146" t="s">
        <v>248</v>
      </c>
      <c r="D146" t="s">
        <v>12</v>
      </c>
      <c r="E146" t="s">
        <v>13</v>
      </c>
      <c r="F146" t="s">
        <v>14</v>
      </c>
      <c r="G146">
        <v>5</v>
      </c>
      <c r="H146">
        <v>0.05</v>
      </c>
      <c r="I146">
        <v>35625</v>
      </c>
      <c r="J146">
        <v>7559.15</v>
      </c>
    </row>
    <row r="147" spans="1:10" x14ac:dyDescent="0.25">
      <c r="A147" t="s">
        <v>249</v>
      </c>
      <c r="B147" s="2">
        <v>46195</v>
      </c>
      <c r="C147" t="s">
        <v>28</v>
      </c>
      <c r="D147" t="s">
        <v>62</v>
      </c>
      <c r="E147" t="s">
        <v>26</v>
      </c>
      <c r="F147" t="s">
        <v>50</v>
      </c>
      <c r="G147">
        <v>7</v>
      </c>
      <c r="H147">
        <v>0.05</v>
      </c>
      <c r="I147">
        <v>21280</v>
      </c>
      <c r="J147">
        <v>4528.8900000000003</v>
      </c>
    </row>
    <row r="148" spans="1:10" x14ac:dyDescent="0.25">
      <c r="A148" t="s">
        <v>250</v>
      </c>
      <c r="B148" s="2">
        <v>46032</v>
      </c>
      <c r="C148" t="s">
        <v>251</v>
      </c>
      <c r="D148" t="s">
        <v>17</v>
      </c>
      <c r="E148" t="s">
        <v>18</v>
      </c>
      <c r="F148" t="s">
        <v>19</v>
      </c>
      <c r="G148">
        <v>2</v>
      </c>
      <c r="H148">
        <v>0</v>
      </c>
      <c r="I148">
        <v>160</v>
      </c>
      <c r="J148">
        <v>34.18</v>
      </c>
    </row>
    <row r="149" spans="1:10" x14ac:dyDescent="0.25">
      <c r="A149" t="s">
        <v>252</v>
      </c>
      <c r="B149" s="2">
        <v>46134</v>
      </c>
      <c r="C149" t="s">
        <v>119</v>
      </c>
      <c r="D149" t="s">
        <v>12</v>
      </c>
      <c r="E149" t="s">
        <v>13</v>
      </c>
      <c r="F149" t="s">
        <v>29</v>
      </c>
      <c r="G149">
        <v>2</v>
      </c>
      <c r="H149">
        <v>0</v>
      </c>
      <c r="I149">
        <v>15000</v>
      </c>
      <c r="J149">
        <v>2697.93</v>
      </c>
    </row>
    <row r="150" spans="1:10" x14ac:dyDescent="0.25">
      <c r="A150" t="s">
        <v>253</v>
      </c>
      <c r="B150" s="2">
        <v>46034</v>
      </c>
      <c r="C150" t="s">
        <v>254</v>
      </c>
      <c r="D150" t="s">
        <v>69</v>
      </c>
      <c r="E150" t="s">
        <v>13</v>
      </c>
      <c r="F150" t="s">
        <v>50</v>
      </c>
      <c r="G150">
        <v>6</v>
      </c>
      <c r="H150">
        <v>0</v>
      </c>
      <c r="I150">
        <v>72000</v>
      </c>
      <c r="J150">
        <v>11002.05</v>
      </c>
    </row>
    <row r="151" spans="1:10" x14ac:dyDescent="0.25">
      <c r="A151" t="s">
        <v>255</v>
      </c>
      <c r="B151" s="2">
        <v>46085</v>
      </c>
      <c r="C151" t="s">
        <v>101</v>
      </c>
      <c r="D151" t="s">
        <v>40</v>
      </c>
      <c r="E151" t="s">
        <v>13</v>
      </c>
      <c r="F151" t="s">
        <v>22</v>
      </c>
      <c r="G151">
        <v>7</v>
      </c>
      <c r="H151">
        <v>0</v>
      </c>
      <c r="I151">
        <v>29400</v>
      </c>
      <c r="J151">
        <v>3839.55</v>
      </c>
    </row>
    <row r="152" spans="1:10" x14ac:dyDescent="0.25">
      <c r="A152" t="s">
        <v>256</v>
      </c>
      <c r="B152" s="2">
        <v>46181</v>
      </c>
      <c r="C152" t="s">
        <v>257</v>
      </c>
      <c r="D152" t="s">
        <v>25</v>
      </c>
      <c r="E152" t="s">
        <v>26</v>
      </c>
      <c r="F152" t="s">
        <v>19</v>
      </c>
      <c r="G152">
        <v>4</v>
      </c>
      <c r="H152">
        <v>0.1</v>
      </c>
      <c r="I152">
        <v>7560</v>
      </c>
      <c r="J152">
        <v>1998.18</v>
      </c>
    </row>
    <row r="153" spans="1:10" x14ac:dyDescent="0.25">
      <c r="A153" t="s">
        <v>258</v>
      </c>
      <c r="B153" s="2">
        <v>46186</v>
      </c>
      <c r="C153" t="s">
        <v>259</v>
      </c>
      <c r="D153" t="s">
        <v>57</v>
      </c>
      <c r="E153" t="s">
        <v>18</v>
      </c>
      <c r="F153" t="s">
        <v>50</v>
      </c>
      <c r="G153">
        <v>5</v>
      </c>
      <c r="H153">
        <v>0.1</v>
      </c>
      <c r="I153">
        <v>12600</v>
      </c>
      <c r="J153">
        <v>1839.08</v>
      </c>
    </row>
    <row r="154" spans="1:10" x14ac:dyDescent="0.25">
      <c r="A154" t="s">
        <v>260</v>
      </c>
      <c r="B154" s="2">
        <v>46196</v>
      </c>
      <c r="C154" t="s">
        <v>31</v>
      </c>
      <c r="D154" t="s">
        <v>34</v>
      </c>
      <c r="E154" t="s">
        <v>26</v>
      </c>
      <c r="F154" t="s">
        <v>22</v>
      </c>
      <c r="G154">
        <v>3</v>
      </c>
      <c r="H154">
        <v>0</v>
      </c>
      <c r="I154">
        <v>5400</v>
      </c>
      <c r="J154">
        <v>969.36</v>
      </c>
    </row>
    <row r="155" spans="1:10" x14ac:dyDescent="0.25">
      <c r="A155" t="s">
        <v>261</v>
      </c>
      <c r="B155" s="2">
        <v>46186</v>
      </c>
      <c r="C155" t="s">
        <v>182</v>
      </c>
      <c r="D155" t="s">
        <v>34</v>
      </c>
      <c r="E155" t="s">
        <v>26</v>
      </c>
      <c r="F155" t="s">
        <v>19</v>
      </c>
      <c r="G155">
        <v>7</v>
      </c>
      <c r="H155">
        <v>0.05</v>
      </c>
      <c r="I155">
        <v>11970</v>
      </c>
      <c r="J155">
        <v>2181.3000000000002</v>
      </c>
    </row>
    <row r="156" spans="1:10" x14ac:dyDescent="0.25">
      <c r="A156" t="s">
        <v>262</v>
      </c>
      <c r="B156" s="2">
        <v>46146</v>
      </c>
      <c r="C156" t="s">
        <v>263</v>
      </c>
      <c r="D156" t="s">
        <v>25</v>
      </c>
      <c r="E156" t="s">
        <v>26</v>
      </c>
      <c r="F156" t="s">
        <v>22</v>
      </c>
      <c r="G156">
        <v>2</v>
      </c>
      <c r="H156">
        <v>0</v>
      </c>
      <c r="I156">
        <v>4200</v>
      </c>
      <c r="J156">
        <v>708.31</v>
      </c>
    </row>
    <row r="157" spans="1:10" x14ac:dyDescent="0.25">
      <c r="A157" t="s">
        <v>264</v>
      </c>
      <c r="B157" s="2">
        <v>46202</v>
      </c>
      <c r="C157" t="s">
        <v>139</v>
      </c>
      <c r="D157" t="s">
        <v>34</v>
      </c>
      <c r="E157" t="s">
        <v>26</v>
      </c>
      <c r="F157" t="s">
        <v>50</v>
      </c>
      <c r="G157">
        <v>5</v>
      </c>
      <c r="H157">
        <v>0</v>
      </c>
      <c r="I157">
        <v>9000</v>
      </c>
      <c r="J157">
        <v>2484.27</v>
      </c>
    </row>
    <row r="158" spans="1:10" x14ac:dyDescent="0.25">
      <c r="A158" t="s">
        <v>265</v>
      </c>
      <c r="B158" s="2">
        <v>46025</v>
      </c>
      <c r="C158" t="s">
        <v>251</v>
      </c>
      <c r="D158" t="s">
        <v>34</v>
      </c>
      <c r="E158" t="s">
        <v>26</v>
      </c>
      <c r="F158" t="s">
        <v>19</v>
      </c>
      <c r="G158">
        <v>1</v>
      </c>
      <c r="H158">
        <v>0.1</v>
      </c>
      <c r="I158">
        <v>1620</v>
      </c>
      <c r="J158">
        <v>404.86</v>
      </c>
    </row>
    <row r="159" spans="1:10" x14ac:dyDescent="0.25">
      <c r="A159" t="s">
        <v>266</v>
      </c>
      <c r="B159" s="2">
        <v>46113</v>
      </c>
      <c r="C159" t="s">
        <v>224</v>
      </c>
      <c r="D159" t="s">
        <v>42</v>
      </c>
      <c r="E159" t="s">
        <v>18</v>
      </c>
      <c r="F159" t="s">
        <v>19</v>
      </c>
      <c r="G159">
        <v>4</v>
      </c>
      <c r="H159">
        <v>0</v>
      </c>
      <c r="I159">
        <v>480</v>
      </c>
      <c r="J159">
        <v>101.64</v>
      </c>
    </row>
    <row r="160" spans="1:10" x14ac:dyDescent="0.25">
      <c r="A160" t="s">
        <v>267</v>
      </c>
      <c r="B160" s="2">
        <v>46183</v>
      </c>
      <c r="C160" t="s">
        <v>44</v>
      </c>
      <c r="D160" t="s">
        <v>12</v>
      </c>
      <c r="E160" t="s">
        <v>13</v>
      </c>
      <c r="F160" t="s">
        <v>22</v>
      </c>
      <c r="G160">
        <v>1</v>
      </c>
      <c r="H160">
        <v>0.05</v>
      </c>
      <c r="I160">
        <v>7125</v>
      </c>
      <c r="J160">
        <v>1723.89</v>
      </c>
    </row>
    <row r="161" spans="1:10" x14ac:dyDescent="0.25">
      <c r="A161" t="s">
        <v>268</v>
      </c>
      <c r="B161" s="2">
        <v>46056</v>
      </c>
      <c r="C161" t="s">
        <v>163</v>
      </c>
      <c r="D161" t="s">
        <v>62</v>
      </c>
      <c r="E161" t="s">
        <v>26</v>
      </c>
      <c r="F161" t="s">
        <v>19</v>
      </c>
      <c r="G161">
        <v>2</v>
      </c>
      <c r="H161">
        <v>0.05</v>
      </c>
      <c r="I161">
        <v>6080</v>
      </c>
      <c r="J161">
        <v>965.56</v>
      </c>
    </row>
    <row r="162" spans="1:10" x14ac:dyDescent="0.25">
      <c r="A162" t="s">
        <v>269</v>
      </c>
      <c r="B162" s="2">
        <v>46056</v>
      </c>
      <c r="C162" t="s">
        <v>177</v>
      </c>
      <c r="D162" t="s">
        <v>49</v>
      </c>
      <c r="E162" t="s">
        <v>13</v>
      </c>
      <c r="F162" t="s">
        <v>50</v>
      </c>
      <c r="G162">
        <v>6</v>
      </c>
      <c r="H162">
        <v>0.05</v>
      </c>
      <c r="I162">
        <v>4845</v>
      </c>
      <c r="J162">
        <v>1208.76</v>
      </c>
    </row>
    <row r="163" spans="1:10" x14ac:dyDescent="0.25">
      <c r="A163" t="s">
        <v>270</v>
      </c>
      <c r="B163" s="2">
        <v>46109</v>
      </c>
      <c r="C163" t="s">
        <v>257</v>
      </c>
      <c r="D163" t="s">
        <v>34</v>
      </c>
      <c r="E163" t="s">
        <v>26</v>
      </c>
      <c r="F163" t="s">
        <v>19</v>
      </c>
      <c r="G163">
        <v>2</v>
      </c>
      <c r="H163">
        <v>0.1</v>
      </c>
      <c r="I163">
        <v>3240</v>
      </c>
      <c r="J163">
        <v>885.56</v>
      </c>
    </row>
    <row r="164" spans="1:10" x14ac:dyDescent="0.25">
      <c r="A164" t="s">
        <v>271</v>
      </c>
      <c r="B164" s="2">
        <v>46165</v>
      </c>
      <c r="C164" t="s">
        <v>259</v>
      </c>
      <c r="D164" t="s">
        <v>25</v>
      </c>
      <c r="E164" t="s">
        <v>26</v>
      </c>
      <c r="F164" t="s">
        <v>29</v>
      </c>
      <c r="G164">
        <v>6</v>
      </c>
      <c r="H164">
        <v>0</v>
      </c>
      <c r="I164">
        <v>12600</v>
      </c>
      <c r="J164">
        <v>3053.27</v>
      </c>
    </row>
    <row r="165" spans="1:10" x14ac:dyDescent="0.25">
      <c r="A165" t="s">
        <v>272</v>
      </c>
      <c r="B165" s="2">
        <v>46054</v>
      </c>
      <c r="C165" t="s">
        <v>224</v>
      </c>
      <c r="D165" t="s">
        <v>17</v>
      </c>
      <c r="E165" t="s">
        <v>18</v>
      </c>
      <c r="F165" t="s">
        <v>29</v>
      </c>
      <c r="G165">
        <v>8</v>
      </c>
      <c r="H165">
        <v>0.05</v>
      </c>
      <c r="I165">
        <v>608</v>
      </c>
      <c r="J165">
        <v>134.43</v>
      </c>
    </row>
    <row r="166" spans="1:10" x14ac:dyDescent="0.25">
      <c r="A166" t="s">
        <v>273</v>
      </c>
      <c r="B166" s="2">
        <v>46120</v>
      </c>
      <c r="C166" t="s">
        <v>85</v>
      </c>
      <c r="D166" t="s">
        <v>42</v>
      </c>
      <c r="E166" t="s">
        <v>18</v>
      </c>
      <c r="F166" t="s">
        <v>14</v>
      </c>
      <c r="G166">
        <v>6</v>
      </c>
      <c r="H166">
        <v>0</v>
      </c>
      <c r="I166">
        <v>720</v>
      </c>
      <c r="J166">
        <v>159.46</v>
      </c>
    </row>
    <row r="167" spans="1:10" x14ac:dyDescent="0.25">
      <c r="A167" t="s">
        <v>274</v>
      </c>
      <c r="B167" s="2">
        <v>46166</v>
      </c>
      <c r="C167" t="s">
        <v>275</v>
      </c>
      <c r="D167" t="s">
        <v>42</v>
      </c>
      <c r="E167" t="s">
        <v>18</v>
      </c>
      <c r="F167" t="s">
        <v>50</v>
      </c>
      <c r="G167">
        <v>6</v>
      </c>
      <c r="H167">
        <v>0</v>
      </c>
      <c r="I167">
        <v>720</v>
      </c>
      <c r="J167">
        <v>155.94</v>
      </c>
    </row>
    <row r="168" spans="1:10" x14ac:dyDescent="0.25">
      <c r="A168" t="s">
        <v>276</v>
      </c>
      <c r="B168" s="2">
        <v>46189</v>
      </c>
      <c r="C168" t="s">
        <v>44</v>
      </c>
      <c r="D168" t="s">
        <v>34</v>
      </c>
      <c r="E168" t="s">
        <v>26</v>
      </c>
      <c r="F168" t="s">
        <v>29</v>
      </c>
      <c r="G168">
        <v>7</v>
      </c>
      <c r="H168">
        <v>0</v>
      </c>
      <c r="I168">
        <v>12600</v>
      </c>
      <c r="J168">
        <v>1577.01</v>
      </c>
    </row>
    <row r="169" spans="1:10" x14ac:dyDescent="0.25">
      <c r="A169" t="s">
        <v>277</v>
      </c>
      <c r="B169" s="2">
        <v>46052</v>
      </c>
      <c r="C169" t="s">
        <v>54</v>
      </c>
      <c r="D169" t="s">
        <v>57</v>
      </c>
      <c r="E169" t="s">
        <v>18</v>
      </c>
      <c r="F169" t="s">
        <v>50</v>
      </c>
      <c r="G169">
        <v>2</v>
      </c>
      <c r="H169">
        <v>0</v>
      </c>
      <c r="I169">
        <v>5600</v>
      </c>
      <c r="J169">
        <v>1454.36</v>
      </c>
    </row>
    <row r="170" spans="1:10" x14ac:dyDescent="0.25">
      <c r="A170" t="s">
        <v>278</v>
      </c>
      <c r="B170" s="2">
        <v>46117</v>
      </c>
      <c r="C170" t="s">
        <v>174</v>
      </c>
      <c r="D170" t="s">
        <v>57</v>
      </c>
      <c r="E170" t="s">
        <v>18</v>
      </c>
      <c r="F170" t="s">
        <v>14</v>
      </c>
      <c r="G170">
        <v>7</v>
      </c>
      <c r="H170">
        <v>0</v>
      </c>
      <c r="I170">
        <v>19600</v>
      </c>
      <c r="J170">
        <v>5083.74</v>
      </c>
    </row>
    <row r="171" spans="1:10" x14ac:dyDescent="0.25">
      <c r="A171" t="s">
        <v>279</v>
      </c>
      <c r="B171" s="2">
        <v>46180</v>
      </c>
      <c r="C171" t="s">
        <v>254</v>
      </c>
      <c r="D171" t="s">
        <v>57</v>
      </c>
      <c r="E171" t="s">
        <v>18</v>
      </c>
      <c r="F171" t="s">
        <v>19</v>
      </c>
      <c r="G171">
        <v>7</v>
      </c>
      <c r="H171">
        <v>0.05</v>
      </c>
      <c r="I171">
        <v>18620</v>
      </c>
      <c r="J171">
        <v>1971.65</v>
      </c>
    </row>
    <row r="172" spans="1:10" x14ac:dyDescent="0.25">
      <c r="A172" t="s">
        <v>280</v>
      </c>
      <c r="B172" s="2">
        <v>46136</v>
      </c>
      <c r="C172" t="s">
        <v>281</v>
      </c>
      <c r="D172" t="s">
        <v>57</v>
      </c>
      <c r="E172" t="s">
        <v>18</v>
      </c>
      <c r="F172" t="s">
        <v>29</v>
      </c>
      <c r="G172">
        <v>4</v>
      </c>
      <c r="H172">
        <v>0.05</v>
      </c>
      <c r="I172">
        <v>10640</v>
      </c>
      <c r="J172">
        <v>1254.28</v>
      </c>
    </row>
    <row r="173" spans="1:10" x14ac:dyDescent="0.25">
      <c r="A173" t="s">
        <v>282</v>
      </c>
      <c r="B173" s="2">
        <v>46188</v>
      </c>
      <c r="C173" t="s">
        <v>136</v>
      </c>
      <c r="D173" t="s">
        <v>17</v>
      </c>
      <c r="E173" t="s">
        <v>18</v>
      </c>
      <c r="F173" t="s">
        <v>14</v>
      </c>
      <c r="G173">
        <v>6</v>
      </c>
      <c r="H173">
        <v>0</v>
      </c>
      <c r="I173">
        <v>480</v>
      </c>
      <c r="J173">
        <v>82.4</v>
      </c>
    </row>
    <row r="174" spans="1:10" x14ac:dyDescent="0.25">
      <c r="A174" t="s">
        <v>283</v>
      </c>
      <c r="B174" s="2">
        <v>46046</v>
      </c>
      <c r="C174" t="s">
        <v>125</v>
      </c>
      <c r="D174" t="s">
        <v>57</v>
      </c>
      <c r="E174" t="s">
        <v>18</v>
      </c>
      <c r="F174" t="s">
        <v>19</v>
      </c>
      <c r="G174">
        <v>4</v>
      </c>
      <c r="H174">
        <v>0</v>
      </c>
      <c r="I174">
        <v>11200</v>
      </c>
      <c r="J174">
        <v>1221.97</v>
      </c>
    </row>
    <row r="175" spans="1:10" x14ac:dyDescent="0.25">
      <c r="A175" t="s">
        <v>284</v>
      </c>
      <c r="B175" s="2">
        <v>46167</v>
      </c>
      <c r="C175" t="s">
        <v>79</v>
      </c>
      <c r="D175" t="s">
        <v>40</v>
      </c>
      <c r="E175" t="s">
        <v>13</v>
      </c>
      <c r="F175" t="s">
        <v>19</v>
      </c>
      <c r="G175">
        <v>4</v>
      </c>
      <c r="H175">
        <v>0</v>
      </c>
      <c r="I175">
        <v>16800</v>
      </c>
      <c r="J175">
        <v>4189.37</v>
      </c>
    </row>
    <row r="176" spans="1:10" x14ac:dyDescent="0.25">
      <c r="A176" t="s">
        <v>285</v>
      </c>
      <c r="B176" s="2">
        <v>46078</v>
      </c>
      <c r="C176" t="s">
        <v>192</v>
      </c>
      <c r="D176" t="s">
        <v>42</v>
      </c>
      <c r="E176" t="s">
        <v>18</v>
      </c>
      <c r="F176" t="s">
        <v>14</v>
      </c>
      <c r="G176">
        <v>4</v>
      </c>
      <c r="H176">
        <v>0.05</v>
      </c>
      <c r="I176">
        <v>456</v>
      </c>
      <c r="J176">
        <v>109.16</v>
      </c>
    </row>
    <row r="177" spans="1:10" x14ac:dyDescent="0.25">
      <c r="A177" t="s">
        <v>286</v>
      </c>
      <c r="B177" s="2">
        <v>46060</v>
      </c>
      <c r="C177" t="s">
        <v>132</v>
      </c>
      <c r="D177" t="s">
        <v>34</v>
      </c>
      <c r="E177" t="s">
        <v>26</v>
      </c>
      <c r="F177" t="s">
        <v>14</v>
      </c>
      <c r="G177">
        <v>3</v>
      </c>
      <c r="H177">
        <v>0.05</v>
      </c>
      <c r="I177">
        <v>5130</v>
      </c>
      <c r="J177">
        <v>1250.3499999999999</v>
      </c>
    </row>
    <row r="178" spans="1:10" x14ac:dyDescent="0.25">
      <c r="A178" t="s">
        <v>287</v>
      </c>
      <c r="B178" s="2">
        <v>46026</v>
      </c>
      <c r="C178" t="s">
        <v>195</v>
      </c>
      <c r="D178" t="s">
        <v>40</v>
      </c>
      <c r="E178" t="s">
        <v>13</v>
      </c>
      <c r="F178" t="s">
        <v>19</v>
      </c>
      <c r="G178">
        <v>6</v>
      </c>
      <c r="H178">
        <v>0</v>
      </c>
      <c r="I178">
        <v>25200</v>
      </c>
      <c r="J178">
        <v>5191.04</v>
      </c>
    </row>
    <row r="179" spans="1:10" x14ac:dyDescent="0.25">
      <c r="A179" t="s">
        <v>288</v>
      </c>
      <c r="B179" s="2">
        <v>46036</v>
      </c>
      <c r="C179" t="s">
        <v>111</v>
      </c>
      <c r="D179" t="s">
        <v>34</v>
      </c>
      <c r="E179" t="s">
        <v>26</v>
      </c>
      <c r="F179" t="s">
        <v>14</v>
      </c>
      <c r="G179">
        <v>3</v>
      </c>
      <c r="H179">
        <v>0.1</v>
      </c>
      <c r="I179">
        <v>4860</v>
      </c>
      <c r="J179">
        <v>946.22</v>
      </c>
    </row>
    <row r="180" spans="1:10" x14ac:dyDescent="0.25">
      <c r="A180" t="s">
        <v>289</v>
      </c>
      <c r="B180" s="2">
        <v>46137</v>
      </c>
      <c r="C180" t="s">
        <v>218</v>
      </c>
      <c r="D180" t="s">
        <v>57</v>
      </c>
      <c r="E180" t="s">
        <v>18</v>
      </c>
      <c r="F180" t="s">
        <v>22</v>
      </c>
      <c r="G180">
        <v>6</v>
      </c>
      <c r="H180">
        <v>0</v>
      </c>
      <c r="I180">
        <v>16800</v>
      </c>
      <c r="J180">
        <v>3046.86</v>
      </c>
    </row>
    <row r="181" spans="1:10" x14ac:dyDescent="0.25">
      <c r="A181" t="s">
        <v>290</v>
      </c>
      <c r="B181" s="2">
        <v>46191</v>
      </c>
      <c r="C181" t="s">
        <v>291</v>
      </c>
      <c r="D181" t="s">
        <v>69</v>
      </c>
      <c r="E181" t="s">
        <v>13</v>
      </c>
      <c r="F181" t="s">
        <v>14</v>
      </c>
      <c r="G181">
        <v>5</v>
      </c>
      <c r="H181">
        <v>0.1</v>
      </c>
      <c r="I181">
        <v>54000</v>
      </c>
      <c r="J181">
        <v>11653.27</v>
      </c>
    </row>
    <row r="182" spans="1:10" x14ac:dyDescent="0.25">
      <c r="A182" t="s">
        <v>292</v>
      </c>
      <c r="B182" s="2">
        <v>46125</v>
      </c>
      <c r="C182" t="s">
        <v>144</v>
      </c>
      <c r="D182" t="s">
        <v>57</v>
      </c>
      <c r="E182" t="s">
        <v>18</v>
      </c>
      <c r="F182" t="s">
        <v>14</v>
      </c>
      <c r="G182">
        <v>7</v>
      </c>
      <c r="H182">
        <v>0</v>
      </c>
      <c r="I182">
        <v>19600</v>
      </c>
      <c r="J182">
        <v>3689.67</v>
      </c>
    </row>
    <row r="183" spans="1:10" x14ac:dyDescent="0.25">
      <c r="A183" t="s">
        <v>293</v>
      </c>
      <c r="B183" s="2">
        <v>46105</v>
      </c>
      <c r="C183" t="s">
        <v>210</v>
      </c>
      <c r="D183" t="s">
        <v>12</v>
      </c>
      <c r="E183" t="s">
        <v>13</v>
      </c>
      <c r="F183" t="s">
        <v>22</v>
      </c>
      <c r="G183">
        <v>3</v>
      </c>
      <c r="H183">
        <v>0</v>
      </c>
      <c r="I183">
        <v>22500</v>
      </c>
      <c r="J183">
        <v>2761.08</v>
      </c>
    </row>
    <row r="184" spans="1:10" x14ac:dyDescent="0.25">
      <c r="A184" t="s">
        <v>294</v>
      </c>
      <c r="B184" s="2">
        <v>46106</v>
      </c>
      <c r="C184" t="s">
        <v>295</v>
      </c>
      <c r="D184" t="s">
        <v>17</v>
      </c>
      <c r="E184" t="s">
        <v>18</v>
      </c>
      <c r="F184" t="s">
        <v>50</v>
      </c>
      <c r="G184">
        <v>7</v>
      </c>
      <c r="H184">
        <v>0.05</v>
      </c>
      <c r="I184">
        <v>532</v>
      </c>
      <c r="J184">
        <v>96.65</v>
      </c>
    </row>
    <row r="185" spans="1:10" x14ac:dyDescent="0.25">
      <c r="A185" t="s">
        <v>296</v>
      </c>
      <c r="B185" s="2">
        <v>46202</v>
      </c>
      <c r="C185" t="s">
        <v>128</v>
      </c>
      <c r="D185" t="s">
        <v>12</v>
      </c>
      <c r="E185" t="s">
        <v>13</v>
      </c>
      <c r="F185" t="s">
        <v>50</v>
      </c>
      <c r="G185">
        <v>2</v>
      </c>
      <c r="H185">
        <v>0</v>
      </c>
      <c r="I185">
        <v>15000</v>
      </c>
      <c r="J185">
        <v>2661.19</v>
      </c>
    </row>
    <row r="186" spans="1:10" x14ac:dyDescent="0.25">
      <c r="A186" t="s">
        <v>297</v>
      </c>
      <c r="B186" s="2">
        <v>46139</v>
      </c>
      <c r="C186" t="s">
        <v>105</v>
      </c>
      <c r="D186" t="s">
        <v>62</v>
      </c>
      <c r="E186" t="s">
        <v>26</v>
      </c>
      <c r="F186" t="s">
        <v>50</v>
      </c>
      <c r="G186">
        <v>7</v>
      </c>
      <c r="H186">
        <v>0.1</v>
      </c>
      <c r="I186">
        <v>20160</v>
      </c>
      <c r="J186">
        <v>4663.62</v>
      </c>
    </row>
    <row r="187" spans="1:10" x14ac:dyDescent="0.25">
      <c r="A187" t="s">
        <v>298</v>
      </c>
      <c r="B187" s="2">
        <v>46193</v>
      </c>
      <c r="C187" t="s">
        <v>281</v>
      </c>
      <c r="D187" t="s">
        <v>62</v>
      </c>
      <c r="E187" t="s">
        <v>26</v>
      </c>
      <c r="F187" t="s">
        <v>50</v>
      </c>
      <c r="G187">
        <v>5</v>
      </c>
      <c r="H187">
        <v>0.05</v>
      </c>
      <c r="I187">
        <v>15200</v>
      </c>
      <c r="J187">
        <v>4129.03</v>
      </c>
    </row>
    <row r="188" spans="1:10" x14ac:dyDescent="0.25">
      <c r="A188" t="s">
        <v>299</v>
      </c>
      <c r="B188" s="2">
        <v>46046</v>
      </c>
      <c r="C188" t="s">
        <v>111</v>
      </c>
      <c r="D188" t="s">
        <v>12</v>
      </c>
      <c r="E188" t="s">
        <v>13</v>
      </c>
      <c r="F188" t="s">
        <v>29</v>
      </c>
      <c r="G188">
        <v>2</v>
      </c>
      <c r="H188">
        <v>0</v>
      </c>
      <c r="I188">
        <v>15000</v>
      </c>
      <c r="J188">
        <v>2666.07</v>
      </c>
    </row>
    <row r="189" spans="1:10" x14ac:dyDescent="0.25">
      <c r="A189" t="s">
        <v>300</v>
      </c>
      <c r="B189" s="2">
        <v>46165</v>
      </c>
      <c r="C189" t="s">
        <v>87</v>
      </c>
      <c r="D189" t="s">
        <v>40</v>
      </c>
      <c r="E189" t="s">
        <v>13</v>
      </c>
      <c r="F189" t="s">
        <v>29</v>
      </c>
      <c r="G189">
        <v>1</v>
      </c>
      <c r="H189">
        <v>0.05</v>
      </c>
      <c r="I189">
        <v>3990</v>
      </c>
      <c r="J189">
        <v>880.2</v>
      </c>
    </row>
    <row r="190" spans="1:10" x14ac:dyDescent="0.25">
      <c r="A190" t="s">
        <v>301</v>
      </c>
      <c r="B190" s="2">
        <v>46036</v>
      </c>
      <c r="C190" t="s">
        <v>302</v>
      </c>
      <c r="D190" t="s">
        <v>25</v>
      </c>
      <c r="E190" t="s">
        <v>26</v>
      </c>
      <c r="F190" t="s">
        <v>22</v>
      </c>
      <c r="G190">
        <v>5</v>
      </c>
      <c r="H190">
        <v>0.05</v>
      </c>
      <c r="I190">
        <v>9975</v>
      </c>
      <c r="J190">
        <v>1628.88</v>
      </c>
    </row>
    <row r="191" spans="1:10" x14ac:dyDescent="0.25">
      <c r="A191" t="s">
        <v>303</v>
      </c>
      <c r="B191" s="2">
        <v>46062</v>
      </c>
      <c r="C191" t="s">
        <v>31</v>
      </c>
      <c r="D191" t="s">
        <v>49</v>
      </c>
      <c r="E191" t="s">
        <v>13</v>
      </c>
      <c r="F191" t="s">
        <v>22</v>
      </c>
      <c r="G191">
        <v>8</v>
      </c>
      <c r="H191">
        <v>0</v>
      </c>
      <c r="I191">
        <v>6800</v>
      </c>
      <c r="J191">
        <v>1717.06</v>
      </c>
    </row>
    <row r="192" spans="1:10" x14ac:dyDescent="0.25">
      <c r="A192" t="s">
        <v>304</v>
      </c>
      <c r="B192" s="2">
        <v>46052</v>
      </c>
      <c r="C192" t="s">
        <v>305</v>
      </c>
      <c r="D192" t="s">
        <v>62</v>
      </c>
      <c r="E192" t="s">
        <v>26</v>
      </c>
      <c r="F192" t="s">
        <v>22</v>
      </c>
      <c r="G192">
        <v>5</v>
      </c>
      <c r="H192">
        <v>0</v>
      </c>
      <c r="I192">
        <v>16000</v>
      </c>
      <c r="J192">
        <v>3924.8</v>
      </c>
    </row>
    <row r="193" spans="1:10" x14ac:dyDescent="0.25">
      <c r="A193" t="s">
        <v>306</v>
      </c>
      <c r="B193" s="2">
        <v>46195</v>
      </c>
      <c r="C193" t="s">
        <v>307</v>
      </c>
      <c r="D193" t="s">
        <v>42</v>
      </c>
      <c r="E193" t="s">
        <v>18</v>
      </c>
      <c r="F193" t="s">
        <v>29</v>
      </c>
      <c r="G193">
        <v>1</v>
      </c>
      <c r="H193">
        <v>0.05</v>
      </c>
      <c r="I193">
        <v>114</v>
      </c>
      <c r="J193">
        <v>11.99</v>
      </c>
    </row>
    <row r="194" spans="1:10" x14ac:dyDescent="0.25">
      <c r="A194" t="s">
        <v>308</v>
      </c>
      <c r="B194" s="2">
        <v>46112</v>
      </c>
      <c r="C194" t="s">
        <v>46</v>
      </c>
      <c r="D194" t="s">
        <v>62</v>
      </c>
      <c r="E194" t="s">
        <v>26</v>
      </c>
      <c r="F194" t="s">
        <v>50</v>
      </c>
      <c r="G194">
        <v>1</v>
      </c>
      <c r="H194">
        <v>0</v>
      </c>
      <c r="I194">
        <v>3200</v>
      </c>
      <c r="J194">
        <v>821.04</v>
      </c>
    </row>
    <row r="195" spans="1:10" x14ac:dyDescent="0.25">
      <c r="A195" t="s">
        <v>309</v>
      </c>
      <c r="B195" s="2">
        <v>46059</v>
      </c>
      <c r="C195" t="s">
        <v>16</v>
      </c>
      <c r="D195" t="s">
        <v>12</v>
      </c>
      <c r="E195" t="s">
        <v>13</v>
      </c>
      <c r="F195" t="s">
        <v>50</v>
      </c>
      <c r="G195">
        <v>1</v>
      </c>
      <c r="H195">
        <v>0</v>
      </c>
      <c r="I195">
        <v>7500</v>
      </c>
      <c r="J195">
        <v>1757.25</v>
      </c>
    </row>
    <row r="196" spans="1:10" x14ac:dyDescent="0.25">
      <c r="A196" t="s">
        <v>310</v>
      </c>
      <c r="B196" s="2">
        <v>46139</v>
      </c>
      <c r="C196" t="s">
        <v>155</v>
      </c>
      <c r="D196" t="s">
        <v>25</v>
      </c>
      <c r="E196" t="s">
        <v>26</v>
      </c>
      <c r="F196" t="s">
        <v>29</v>
      </c>
      <c r="G196">
        <v>6</v>
      </c>
      <c r="H196">
        <v>0</v>
      </c>
      <c r="I196">
        <v>12600</v>
      </c>
      <c r="J196">
        <v>2099.2800000000002</v>
      </c>
    </row>
    <row r="197" spans="1:10" x14ac:dyDescent="0.25">
      <c r="A197" t="s">
        <v>311</v>
      </c>
      <c r="B197" s="2">
        <v>46175</v>
      </c>
      <c r="C197" t="s">
        <v>75</v>
      </c>
      <c r="D197" t="s">
        <v>42</v>
      </c>
      <c r="E197" t="s">
        <v>18</v>
      </c>
      <c r="F197" t="s">
        <v>22</v>
      </c>
      <c r="G197">
        <v>2</v>
      </c>
      <c r="H197">
        <v>0</v>
      </c>
      <c r="I197">
        <v>240</v>
      </c>
      <c r="J197">
        <v>30.72</v>
      </c>
    </row>
    <row r="198" spans="1:10" x14ac:dyDescent="0.25">
      <c r="A198" t="s">
        <v>312</v>
      </c>
      <c r="B198" s="2">
        <v>46195</v>
      </c>
      <c r="C198" t="s">
        <v>115</v>
      </c>
      <c r="D198" t="s">
        <v>69</v>
      </c>
      <c r="E198" t="s">
        <v>13</v>
      </c>
      <c r="F198" t="s">
        <v>50</v>
      </c>
      <c r="G198">
        <v>2</v>
      </c>
      <c r="H198">
        <v>0.05</v>
      </c>
      <c r="I198">
        <v>22800</v>
      </c>
      <c r="J198">
        <v>4098.54</v>
      </c>
    </row>
    <row r="199" spans="1:10" x14ac:dyDescent="0.25">
      <c r="A199" t="s">
        <v>313</v>
      </c>
      <c r="B199" s="2">
        <v>46136</v>
      </c>
      <c r="C199" t="s">
        <v>314</v>
      </c>
      <c r="D199" t="s">
        <v>42</v>
      </c>
      <c r="E199" t="s">
        <v>18</v>
      </c>
      <c r="F199" t="s">
        <v>14</v>
      </c>
      <c r="G199">
        <v>7</v>
      </c>
      <c r="H199">
        <v>0.05</v>
      </c>
      <c r="I199">
        <v>798</v>
      </c>
      <c r="J199">
        <v>110.76</v>
      </c>
    </row>
    <row r="200" spans="1:10" x14ac:dyDescent="0.25">
      <c r="A200" t="s">
        <v>315</v>
      </c>
      <c r="B200" s="2">
        <v>46133</v>
      </c>
      <c r="C200" t="s">
        <v>212</v>
      </c>
      <c r="D200" t="s">
        <v>62</v>
      </c>
      <c r="E200" t="s">
        <v>26</v>
      </c>
      <c r="F200" t="s">
        <v>50</v>
      </c>
      <c r="G200">
        <v>2</v>
      </c>
      <c r="H200">
        <v>0.05</v>
      </c>
      <c r="I200">
        <v>6080</v>
      </c>
      <c r="J200">
        <v>1350.24</v>
      </c>
    </row>
    <row r="201" spans="1:10" x14ac:dyDescent="0.25">
      <c r="A201" t="s">
        <v>316</v>
      </c>
      <c r="B201" s="2">
        <v>46193</v>
      </c>
      <c r="C201" t="s">
        <v>192</v>
      </c>
      <c r="D201" t="s">
        <v>17</v>
      </c>
      <c r="E201" t="s">
        <v>18</v>
      </c>
      <c r="F201" t="s">
        <v>14</v>
      </c>
      <c r="G201">
        <v>5</v>
      </c>
      <c r="H201">
        <v>0</v>
      </c>
      <c r="I201">
        <v>400</v>
      </c>
      <c r="J201">
        <v>55.88</v>
      </c>
    </row>
    <row r="202" spans="1:10" x14ac:dyDescent="0.25">
      <c r="A202" t="s">
        <v>317</v>
      </c>
      <c r="B202" s="2">
        <v>46075</v>
      </c>
      <c r="C202" t="s">
        <v>28</v>
      </c>
      <c r="D202" t="s">
        <v>69</v>
      </c>
      <c r="E202" t="s">
        <v>13</v>
      </c>
      <c r="F202" t="s">
        <v>29</v>
      </c>
      <c r="G202">
        <v>5</v>
      </c>
      <c r="H202">
        <v>0</v>
      </c>
      <c r="I202">
        <v>60000</v>
      </c>
      <c r="J202">
        <v>14287.37</v>
      </c>
    </row>
    <row r="203" spans="1:10" x14ac:dyDescent="0.25">
      <c r="A203" t="s">
        <v>318</v>
      </c>
      <c r="B203" s="2">
        <v>46106</v>
      </c>
      <c r="C203" t="s">
        <v>134</v>
      </c>
      <c r="D203" t="s">
        <v>34</v>
      </c>
      <c r="E203" t="s">
        <v>26</v>
      </c>
      <c r="F203" t="s">
        <v>19</v>
      </c>
      <c r="G203">
        <v>2</v>
      </c>
      <c r="H203">
        <v>0</v>
      </c>
      <c r="I203">
        <v>3600</v>
      </c>
      <c r="J203">
        <v>682.31</v>
      </c>
    </row>
    <row r="204" spans="1:10" x14ac:dyDescent="0.25">
      <c r="A204" t="s">
        <v>319</v>
      </c>
      <c r="B204" s="2">
        <v>46120</v>
      </c>
      <c r="C204" t="s">
        <v>11</v>
      </c>
      <c r="D204" t="s">
        <v>40</v>
      </c>
      <c r="E204" t="s">
        <v>13</v>
      </c>
      <c r="F204" t="s">
        <v>14</v>
      </c>
      <c r="G204">
        <v>4</v>
      </c>
      <c r="H204">
        <v>0.05</v>
      </c>
      <c r="I204">
        <v>15960</v>
      </c>
      <c r="J204">
        <v>1803.06</v>
      </c>
    </row>
    <row r="205" spans="1:10" x14ac:dyDescent="0.25">
      <c r="A205" t="s">
        <v>320</v>
      </c>
      <c r="B205" s="2">
        <v>46027</v>
      </c>
      <c r="C205" t="s">
        <v>302</v>
      </c>
      <c r="D205" t="s">
        <v>25</v>
      </c>
      <c r="E205" t="s">
        <v>26</v>
      </c>
      <c r="F205" t="s">
        <v>50</v>
      </c>
      <c r="G205">
        <v>8</v>
      </c>
      <c r="H205">
        <v>0</v>
      </c>
      <c r="I205">
        <v>16800</v>
      </c>
      <c r="J205">
        <v>4287.0200000000004</v>
      </c>
    </row>
    <row r="206" spans="1:10" x14ac:dyDescent="0.25">
      <c r="A206" t="s">
        <v>321</v>
      </c>
      <c r="B206" s="2">
        <v>46126</v>
      </c>
      <c r="C206" t="s">
        <v>195</v>
      </c>
      <c r="D206" t="s">
        <v>42</v>
      </c>
      <c r="E206" t="s">
        <v>18</v>
      </c>
      <c r="F206" t="s">
        <v>29</v>
      </c>
      <c r="G206">
        <v>7</v>
      </c>
      <c r="H206">
        <v>0.05</v>
      </c>
      <c r="I206">
        <v>798</v>
      </c>
      <c r="J206">
        <v>96.34</v>
      </c>
    </row>
    <row r="207" spans="1:10" x14ac:dyDescent="0.25">
      <c r="A207" t="s">
        <v>322</v>
      </c>
      <c r="B207" s="2">
        <v>46181</v>
      </c>
      <c r="C207" t="s">
        <v>179</v>
      </c>
      <c r="D207" t="s">
        <v>40</v>
      </c>
      <c r="E207" t="s">
        <v>13</v>
      </c>
      <c r="F207" t="s">
        <v>19</v>
      </c>
      <c r="G207">
        <v>8</v>
      </c>
      <c r="H207">
        <v>0.05</v>
      </c>
      <c r="I207">
        <v>31920</v>
      </c>
      <c r="J207">
        <v>3698.36</v>
      </c>
    </row>
    <row r="208" spans="1:10" x14ac:dyDescent="0.25">
      <c r="A208" t="s">
        <v>323</v>
      </c>
      <c r="B208" s="2">
        <v>46173</v>
      </c>
      <c r="C208" t="s">
        <v>220</v>
      </c>
      <c r="D208" t="s">
        <v>25</v>
      </c>
      <c r="E208" t="s">
        <v>26</v>
      </c>
      <c r="F208" t="s">
        <v>29</v>
      </c>
      <c r="G208">
        <v>7</v>
      </c>
      <c r="H208">
        <v>0</v>
      </c>
      <c r="I208">
        <v>14700</v>
      </c>
      <c r="J208">
        <v>2517.1999999999998</v>
      </c>
    </row>
    <row r="209" spans="1:10" x14ac:dyDescent="0.25">
      <c r="A209" t="s">
        <v>324</v>
      </c>
      <c r="B209" s="2">
        <v>46108</v>
      </c>
      <c r="C209" t="s">
        <v>132</v>
      </c>
      <c r="D209" t="s">
        <v>49</v>
      </c>
      <c r="E209" t="s">
        <v>13</v>
      </c>
      <c r="F209" t="s">
        <v>22</v>
      </c>
      <c r="G209">
        <v>3</v>
      </c>
      <c r="H209">
        <v>0</v>
      </c>
      <c r="I209">
        <v>2550</v>
      </c>
      <c r="J209">
        <v>489.31</v>
      </c>
    </row>
    <row r="210" spans="1:10" x14ac:dyDescent="0.25">
      <c r="A210" t="s">
        <v>325</v>
      </c>
      <c r="B210" s="2">
        <v>46072</v>
      </c>
      <c r="C210" t="s">
        <v>48</v>
      </c>
      <c r="D210" t="s">
        <v>17</v>
      </c>
      <c r="E210" t="s">
        <v>18</v>
      </c>
      <c r="F210" t="s">
        <v>19</v>
      </c>
      <c r="G210">
        <v>6</v>
      </c>
      <c r="H210">
        <v>0.05</v>
      </c>
      <c r="I210">
        <v>456</v>
      </c>
      <c r="J210">
        <v>105.3</v>
      </c>
    </row>
    <row r="211" spans="1:10" x14ac:dyDescent="0.25">
      <c r="A211" t="s">
        <v>326</v>
      </c>
      <c r="B211" s="2">
        <v>46049</v>
      </c>
      <c r="C211" t="s">
        <v>295</v>
      </c>
      <c r="D211" t="s">
        <v>49</v>
      </c>
      <c r="E211" t="s">
        <v>13</v>
      </c>
      <c r="F211" t="s">
        <v>19</v>
      </c>
      <c r="G211">
        <v>3</v>
      </c>
      <c r="H211">
        <v>0.05</v>
      </c>
      <c r="I211">
        <v>2422.5</v>
      </c>
      <c r="J211">
        <v>328.27</v>
      </c>
    </row>
    <row r="212" spans="1:10" x14ac:dyDescent="0.25">
      <c r="A212" t="s">
        <v>327</v>
      </c>
      <c r="B212" s="2">
        <v>46068</v>
      </c>
      <c r="C212" t="s">
        <v>28</v>
      </c>
      <c r="D212" t="s">
        <v>12</v>
      </c>
      <c r="E212" t="s">
        <v>13</v>
      </c>
      <c r="F212" t="s">
        <v>22</v>
      </c>
      <c r="G212">
        <v>8</v>
      </c>
      <c r="H212">
        <v>0.1</v>
      </c>
      <c r="I212">
        <v>54000</v>
      </c>
      <c r="J212">
        <v>12733.21</v>
      </c>
    </row>
    <row r="213" spans="1:10" x14ac:dyDescent="0.25">
      <c r="A213" t="s">
        <v>328</v>
      </c>
      <c r="B213" s="2">
        <v>46197</v>
      </c>
      <c r="C213" t="s">
        <v>130</v>
      </c>
      <c r="D213" t="s">
        <v>57</v>
      </c>
      <c r="E213" t="s">
        <v>18</v>
      </c>
      <c r="F213" t="s">
        <v>50</v>
      </c>
      <c r="G213">
        <v>6</v>
      </c>
      <c r="H213">
        <v>0.05</v>
      </c>
      <c r="I213">
        <v>15960</v>
      </c>
      <c r="J213">
        <v>2029.67</v>
      </c>
    </row>
    <row r="214" spans="1:10" x14ac:dyDescent="0.25">
      <c r="A214" t="s">
        <v>329</v>
      </c>
      <c r="B214" s="2">
        <v>46184</v>
      </c>
      <c r="C214" t="s">
        <v>263</v>
      </c>
      <c r="D214" t="s">
        <v>57</v>
      </c>
      <c r="E214" t="s">
        <v>18</v>
      </c>
      <c r="F214" t="s">
        <v>22</v>
      </c>
      <c r="G214">
        <v>5</v>
      </c>
      <c r="H214">
        <v>0.05</v>
      </c>
      <c r="I214">
        <v>13300</v>
      </c>
      <c r="J214">
        <v>2745.86</v>
      </c>
    </row>
    <row r="215" spans="1:10" x14ac:dyDescent="0.25">
      <c r="A215" t="s">
        <v>330</v>
      </c>
      <c r="B215" s="2">
        <v>46102</v>
      </c>
      <c r="C215" t="s">
        <v>254</v>
      </c>
      <c r="D215" t="s">
        <v>12</v>
      </c>
      <c r="E215" t="s">
        <v>13</v>
      </c>
      <c r="F215" t="s">
        <v>29</v>
      </c>
      <c r="G215">
        <v>8</v>
      </c>
      <c r="H215">
        <v>0.1</v>
      </c>
      <c r="I215">
        <v>54000</v>
      </c>
      <c r="J215">
        <v>5765.54</v>
      </c>
    </row>
    <row r="216" spans="1:10" x14ac:dyDescent="0.25">
      <c r="A216" t="s">
        <v>331</v>
      </c>
      <c r="B216" s="2">
        <v>46188</v>
      </c>
      <c r="C216" t="s">
        <v>79</v>
      </c>
      <c r="D216" t="s">
        <v>12</v>
      </c>
      <c r="E216" t="s">
        <v>13</v>
      </c>
      <c r="F216" t="s">
        <v>14</v>
      </c>
      <c r="G216">
        <v>2</v>
      </c>
      <c r="H216">
        <v>0.1</v>
      </c>
      <c r="I216">
        <v>13500</v>
      </c>
      <c r="J216">
        <v>2474.39</v>
      </c>
    </row>
    <row r="217" spans="1:10" x14ac:dyDescent="0.25">
      <c r="A217" t="s">
        <v>332</v>
      </c>
      <c r="B217" s="2">
        <v>46169</v>
      </c>
      <c r="C217" t="s">
        <v>64</v>
      </c>
      <c r="D217" t="s">
        <v>57</v>
      </c>
      <c r="E217" t="s">
        <v>18</v>
      </c>
      <c r="F217" t="s">
        <v>19</v>
      </c>
      <c r="G217">
        <v>4</v>
      </c>
      <c r="H217">
        <v>0.05</v>
      </c>
      <c r="I217">
        <v>10640</v>
      </c>
      <c r="J217">
        <v>2222.71</v>
      </c>
    </row>
    <row r="218" spans="1:10" x14ac:dyDescent="0.25">
      <c r="A218" t="s">
        <v>333</v>
      </c>
      <c r="B218" s="2">
        <v>46138</v>
      </c>
      <c r="C218" t="s">
        <v>101</v>
      </c>
      <c r="D218" t="s">
        <v>69</v>
      </c>
      <c r="E218" t="s">
        <v>13</v>
      </c>
      <c r="F218" t="s">
        <v>22</v>
      </c>
      <c r="G218">
        <v>2</v>
      </c>
      <c r="H218">
        <v>0.05</v>
      </c>
      <c r="I218">
        <v>22800</v>
      </c>
      <c r="J218">
        <v>6311.71</v>
      </c>
    </row>
    <row r="219" spans="1:10" x14ac:dyDescent="0.25">
      <c r="A219" t="s">
        <v>334</v>
      </c>
      <c r="B219" s="2">
        <v>46033</v>
      </c>
      <c r="C219" t="s">
        <v>335</v>
      </c>
      <c r="D219" t="s">
        <v>40</v>
      </c>
      <c r="E219" t="s">
        <v>13</v>
      </c>
      <c r="F219" t="s">
        <v>22</v>
      </c>
      <c r="G219">
        <v>4</v>
      </c>
      <c r="H219">
        <v>0.1</v>
      </c>
      <c r="I219">
        <v>15120</v>
      </c>
      <c r="J219">
        <v>4209.07</v>
      </c>
    </row>
    <row r="220" spans="1:10" x14ac:dyDescent="0.25">
      <c r="A220" t="s">
        <v>336</v>
      </c>
      <c r="B220" s="2">
        <v>46063</v>
      </c>
      <c r="C220" t="s">
        <v>166</v>
      </c>
      <c r="D220" t="s">
        <v>42</v>
      </c>
      <c r="E220" t="s">
        <v>18</v>
      </c>
      <c r="F220" t="s">
        <v>50</v>
      </c>
      <c r="G220">
        <v>6</v>
      </c>
      <c r="H220">
        <v>0.05</v>
      </c>
      <c r="I220">
        <v>684</v>
      </c>
      <c r="J220">
        <v>181.42</v>
      </c>
    </row>
    <row r="221" spans="1:10" x14ac:dyDescent="0.25">
      <c r="A221" t="s">
        <v>337</v>
      </c>
      <c r="B221" s="2">
        <v>46196</v>
      </c>
      <c r="C221" t="s">
        <v>338</v>
      </c>
      <c r="D221" t="s">
        <v>62</v>
      </c>
      <c r="E221" t="s">
        <v>26</v>
      </c>
      <c r="F221" t="s">
        <v>22</v>
      </c>
      <c r="G221">
        <v>1</v>
      </c>
      <c r="H221">
        <v>0.05</v>
      </c>
      <c r="I221">
        <v>3040</v>
      </c>
      <c r="J221">
        <v>340.07</v>
      </c>
    </row>
    <row r="222" spans="1:10" x14ac:dyDescent="0.25">
      <c r="A222" t="s">
        <v>339</v>
      </c>
      <c r="B222" s="2">
        <v>46095</v>
      </c>
      <c r="C222" t="s">
        <v>99</v>
      </c>
      <c r="D222" t="s">
        <v>25</v>
      </c>
      <c r="E222" t="s">
        <v>26</v>
      </c>
      <c r="F222" t="s">
        <v>19</v>
      </c>
      <c r="G222">
        <v>5</v>
      </c>
      <c r="H222">
        <v>0</v>
      </c>
      <c r="I222">
        <v>10500</v>
      </c>
      <c r="J222">
        <v>1680.05</v>
      </c>
    </row>
    <row r="223" spans="1:10" x14ac:dyDescent="0.25">
      <c r="A223" t="s">
        <v>340</v>
      </c>
      <c r="B223" s="2">
        <v>46102</v>
      </c>
      <c r="C223" t="s">
        <v>101</v>
      </c>
      <c r="D223" t="s">
        <v>62</v>
      </c>
      <c r="E223" t="s">
        <v>26</v>
      </c>
      <c r="F223" t="s">
        <v>29</v>
      </c>
      <c r="G223">
        <v>7</v>
      </c>
      <c r="H223">
        <v>0</v>
      </c>
      <c r="I223">
        <v>22400</v>
      </c>
      <c r="J223">
        <v>4639.21</v>
      </c>
    </row>
    <row r="224" spans="1:10" x14ac:dyDescent="0.25">
      <c r="A224" t="s">
        <v>341</v>
      </c>
      <c r="B224" s="2">
        <v>46119</v>
      </c>
      <c r="C224" t="s">
        <v>11</v>
      </c>
      <c r="D224" t="s">
        <v>17</v>
      </c>
      <c r="E224" t="s">
        <v>18</v>
      </c>
      <c r="F224" t="s">
        <v>22</v>
      </c>
      <c r="G224">
        <v>6</v>
      </c>
      <c r="H224">
        <v>0</v>
      </c>
      <c r="I224">
        <v>480</v>
      </c>
      <c r="J224">
        <v>105.9</v>
      </c>
    </row>
    <row r="225" spans="1:10" x14ac:dyDescent="0.25">
      <c r="A225" t="s">
        <v>342</v>
      </c>
      <c r="B225" s="2">
        <v>46188</v>
      </c>
      <c r="C225" t="s">
        <v>220</v>
      </c>
      <c r="D225" t="s">
        <v>12</v>
      </c>
      <c r="E225" t="s">
        <v>13</v>
      </c>
      <c r="F225" t="s">
        <v>19</v>
      </c>
      <c r="G225">
        <v>7</v>
      </c>
      <c r="H225">
        <v>0.05</v>
      </c>
      <c r="I225">
        <v>49875</v>
      </c>
      <c r="J225">
        <v>5151.16</v>
      </c>
    </row>
    <row r="226" spans="1:10" x14ac:dyDescent="0.25">
      <c r="A226" t="s">
        <v>343</v>
      </c>
      <c r="B226" s="2">
        <v>46110</v>
      </c>
      <c r="C226" t="s">
        <v>54</v>
      </c>
      <c r="D226" t="s">
        <v>49</v>
      </c>
      <c r="E226" t="s">
        <v>13</v>
      </c>
      <c r="F226" t="s">
        <v>19</v>
      </c>
      <c r="G226">
        <v>8</v>
      </c>
      <c r="H226">
        <v>0</v>
      </c>
      <c r="I226">
        <v>6800</v>
      </c>
      <c r="J226">
        <v>957.29</v>
      </c>
    </row>
    <row r="227" spans="1:10" x14ac:dyDescent="0.25">
      <c r="A227" t="s">
        <v>344</v>
      </c>
      <c r="B227" s="2">
        <v>46098</v>
      </c>
      <c r="C227" t="s">
        <v>149</v>
      </c>
      <c r="D227" t="s">
        <v>12</v>
      </c>
      <c r="E227" t="s">
        <v>13</v>
      </c>
      <c r="F227" t="s">
        <v>22</v>
      </c>
      <c r="G227">
        <v>2</v>
      </c>
      <c r="H227">
        <v>0</v>
      </c>
      <c r="I227">
        <v>15000</v>
      </c>
      <c r="J227">
        <v>3287.21</v>
      </c>
    </row>
    <row r="228" spans="1:10" x14ac:dyDescent="0.25">
      <c r="A228" t="s">
        <v>345</v>
      </c>
      <c r="B228" s="2">
        <v>46175</v>
      </c>
      <c r="C228" t="s">
        <v>119</v>
      </c>
      <c r="D228" t="s">
        <v>40</v>
      </c>
      <c r="E228" t="s">
        <v>13</v>
      </c>
      <c r="F228" t="s">
        <v>22</v>
      </c>
      <c r="G228">
        <v>7</v>
      </c>
      <c r="H228">
        <v>0</v>
      </c>
      <c r="I228">
        <v>29400</v>
      </c>
      <c r="J228">
        <v>3798.61</v>
      </c>
    </row>
    <row r="229" spans="1:10" x14ac:dyDescent="0.25">
      <c r="A229" t="s">
        <v>346</v>
      </c>
      <c r="B229" s="2">
        <v>46135</v>
      </c>
      <c r="C229" t="s">
        <v>155</v>
      </c>
      <c r="D229" t="s">
        <v>40</v>
      </c>
      <c r="E229" t="s">
        <v>13</v>
      </c>
      <c r="F229" t="s">
        <v>19</v>
      </c>
      <c r="G229">
        <v>1</v>
      </c>
      <c r="H229">
        <v>0.1</v>
      </c>
      <c r="I229">
        <v>3780</v>
      </c>
      <c r="J229">
        <v>625.87</v>
      </c>
    </row>
    <row r="230" spans="1:10" x14ac:dyDescent="0.25">
      <c r="A230" t="s">
        <v>347</v>
      </c>
      <c r="B230" s="2">
        <v>46179</v>
      </c>
      <c r="C230" t="s">
        <v>94</v>
      </c>
      <c r="D230" t="s">
        <v>57</v>
      </c>
      <c r="E230" t="s">
        <v>18</v>
      </c>
      <c r="F230" t="s">
        <v>29</v>
      </c>
      <c r="G230">
        <v>5</v>
      </c>
      <c r="H230">
        <v>0.1</v>
      </c>
      <c r="I230">
        <v>12600</v>
      </c>
      <c r="J230">
        <v>1790.72</v>
      </c>
    </row>
    <row r="231" spans="1:10" x14ac:dyDescent="0.25">
      <c r="A231" t="s">
        <v>348</v>
      </c>
      <c r="B231" s="2">
        <v>46072</v>
      </c>
      <c r="C231" t="s">
        <v>251</v>
      </c>
      <c r="D231" t="s">
        <v>57</v>
      </c>
      <c r="E231" t="s">
        <v>18</v>
      </c>
      <c r="F231" t="s">
        <v>50</v>
      </c>
      <c r="G231">
        <v>6</v>
      </c>
      <c r="H231">
        <v>0.1</v>
      </c>
      <c r="I231">
        <v>15120</v>
      </c>
      <c r="J231">
        <v>2768.51</v>
      </c>
    </row>
    <row r="232" spans="1:10" x14ac:dyDescent="0.25">
      <c r="A232" t="s">
        <v>349</v>
      </c>
      <c r="B232" s="2">
        <v>46158</v>
      </c>
      <c r="C232" t="s">
        <v>295</v>
      </c>
      <c r="D232" t="s">
        <v>17</v>
      </c>
      <c r="E232" t="s">
        <v>18</v>
      </c>
      <c r="F232" t="s">
        <v>19</v>
      </c>
      <c r="G232">
        <v>7</v>
      </c>
      <c r="H232">
        <v>0</v>
      </c>
      <c r="I232">
        <v>560</v>
      </c>
      <c r="J232">
        <v>138.34</v>
      </c>
    </row>
    <row r="233" spans="1:10" x14ac:dyDescent="0.25">
      <c r="A233" t="s">
        <v>350</v>
      </c>
      <c r="B233" s="2">
        <v>46036</v>
      </c>
      <c r="C233" t="s">
        <v>179</v>
      </c>
      <c r="D233" t="s">
        <v>34</v>
      </c>
      <c r="E233" t="s">
        <v>26</v>
      </c>
      <c r="F233" t="s">
        <v>22</v>
      </c>
      <c r="G233">
        <v>8</v>
      </c>
      <c r="H233">
        <v>0.05</v>
      </c>
      <c r="I233">
        <v>13680</v>
      </c>
      <c r="J233">
        <v>2733.5</v>
      </c>
    </row>
    <row r="234" spans="1:10" x14ac:dyDescent="0.25">
      <c r="A234" t="s">
        <v>351</v>
      </c>
      <c r="B234" s="2">
        <v>46095</v>
      </c>
      <c r="C234" t="s">
        <v>314</v>
      </c>
      <c r="D234" t="s">
        <v>12</v>
      </c>
      <c r="E234" t="s">
        <v>13</v>
      </c>
      <c r="F234" t="s">
        <v>19</v>
      </c>
      <c r="G234">
        <v>2</v>
      </c>
      <c r="H234">
        <v>0</v>
      </c>
      <c r="I234">
        <v>15000</v>
      </c>
      <c r="J234">
        <v>2236.54</v>
      </c>
    </row>
    <row r="235" spans="1:10" x14ac:dyDescent="0.25">
      <c r="A235" t="s">
        <v>352</v>
      </c>
      <c r="B235" s="2">
        <v>46046</v>
      </c>
      <c r="C235" t="s">
        <v>291</v>
      </c>
      <c r="D235" t="s">
        <v>25</v>
      </c>
      <c r="E235" t="s">
        <v>26</v>
      </c>
      <c r="F235" t="s">
        <v>50</v>
      </c>
      <c r="G235">
        <v>4</v>
      </c>
      <c r="H235">
        <v>0.1</v>
      </c>
      <c r="I235">
        <v>7560</v>
      </c>
      <c r="J235">
        <v>1959.8</v>
      </c>
    </row>
    <row r="236" spans="1:10" x14ac:dyDescent="0.25">
      <c r="A236" t="s">
        <v>353</v>
      </c>
      <c r="B236" s="2">
        <v>46124</v>
      </c>
      <c r="C236" t="s">
        <v>101</v>
      </c>
      <c r="D236" t="s">
        <v>69</v>
      </c>
      <c r="E236" t="s">
        <v>13</v>
      </c>
      <c r="F236" t="s">
        <v>29</v>
      </c>
      <c r="G236">
        <v>6</v>
      </c>
      <c r="H236">
        <v>0</v>
      </c>
      <c r="I236">
        <v>72000</v>
      </c>
      <c r="J236">
        <v>12204.71</v>
      </c>
    </row>
    <row r="237" spans="1:10" x14ac:dyDescent="0.25">
      <c r="A237" t="s">
        <v>354</v>
      </c>
      <c r="B237" s="2">
        <v>46030</v>
      </c>
      <c r="C237" t="s">
        <v>174</v>
      </c>
      <c r="D237" t="s">
        <v>49</v>
      </c>
      <c r="E237" t="s">
        <v>13</v>
      </c>
      <c r="F237" t="s">
        <v>29</v>
      </c>
      <c r="G237">
        <v>6</v>
      </c>
      <c r="H237">
        <v>0</v>
      </c>
      <c r="I237">
        <v>5100</v>
      </c>
      <c r="J237">
        <v>1280.3599999999999</v>
      </c>
    </row>
    <row r="238" spans="1:10" x14ac:dyDescent="0.25">
      <c r="A238" t="s">
        <v>355</v>
      </c>
      <c r="B238" s="2">
        <v>46058</v>
      </c>
      <c r="C238" t="s">
        <v>85</v>
      </c>
      <c r="D238" t="s">
        <v>40</v>
      </c>
      <c r="E238" t="s">
        <v>13</v>
      </c>
      <c r="F238" t="s">
        <v>19</v>
      </c>
      <c r="G238">
        <v>1</v>
      </c>
      <c r="H238">
        <v>0.05</v>
      </c>
      <c r="I238">
        <v>3990</v>
      </c>
      <c r="J238">
        <v>1057.8699999999999</v>
      </c>
    </row>
    <row r="239" spans="1:10" x14ac:dyDescent="0.25">
      <c r="A239" t="s">
        <v>356</v>
      </c>
      <c r="B239" s="2">
        <v>46137</v>
      </c>
      <c r="C239" t="s">
        <v>16</v>
      </c>
      <c r="D239" t="s">
        <v>57</v>
      </c>
      <c r="E239" t="s">
        <v>18</v>
      </c>
      <c r="F239" t="s">
        <v>19</v>
      </c>
      <c r="G239">
        <v>1</v>
      </c>
      <c r="H239">
        <v>0</v>
      </c>
      <c r="I239">
        <v>2800</v>
      </c>
      <c r="J239">
        <v>289.58</v>
      </c>
    </row>
    <row r="240" spans="1:10" x14ac:dyDescent="0.25">
      <c r="A240" t="s">
        <v>357</v>
      </c>
      <c r="B240" s="2">
        <v>46178</v>
      </c>
      <c r="C240" t="s">
        <v>94</v>
      </c>
      <c r="D240" t="s">
        <v>17</v>
      </c>
      <c r="E240" t="s">
        <v>18</v>
      </c>
      <c r="F240" t="s">
        <v>29</v>
      </c>
      <c r="G240">
        <v>7</v>
      </c>
      <c r="H240">
        <v>0</v>
      </c>
      <c r="I240">
        <v>560</v>
      </c>
      <c r="J240">
        <v>134.24</v>
      </c>
    </row>
    <row r="241" spans="1:10" x14ac:dyDescent="0.25">
      <c r="A241" t="s">
        <v>358</v>
      </c>
      <c r="B241" s="2">
        <v>46035</v>
      </c>
      <c r="C241" t="s">
        <v>210</v>
      </c>
      <c r="D241" t="s">
        <v>12</v>
      </c>
      <c r="E241" t="s">
        <v>13</v>
      </c>
      <c r="F241" t="s">
        <v>50</v>
      </c>
      <c r="G241">
        <v>4</v>
      </c>
      <c r="H241">
        <v>0.1</v>
      </c>
      <c r="I241">
        <v>27000</v>
      </c>
      <c r="J241">
        <v>5805.31</v>
      </c>
    </row>
    <row r="242" spans="1:10" x14ac:dyDescent="0.25">
      <c r="A242" t="s">
        <v>359</v>
      </c>
      <c r="B242" s="2">
        <v>46051</v>
      </c>
      <c r="C242" t="s">
        <v>302</v>
      </c>
      <c r="D242" t="s">
        <v>12</v>
      </c>
      <c r="E242" t="s">
        <v>13</v>
      </c>
      <c r="F242" t="s">
        <v>19</v>
      </c>
      <c r="G242">
        <v>8</v>
      </c>
      <c r="H242">
        <v>0</v>
      </c>
      <c r="I242">
        <v>60000</v>
      </c>
      <c r="J242">
        <v>12825.11</v>
      </c>
    </row>
    <row r="243" spans="1:10" x14ac:dyDescent="0.25">
      <c r="A243" t="s">
        <v>360</v>
      </c>
      <c r="B243" s="2">
        <v>46097</v>
      </c>
      <c r="C243" t="s">
        <v>94</v>
      </c>
      <c r="D243" t="s">
        <v>40</v>
      </c>
      <c r="E243" t="s">
        <v>13</v>
      </c>
      <c r="F243" t="s">
        <v>22</v>
      </c>
      <c r="G243">
        <v>7</v>
      </c>
      <c r="H243">
        <v>0</v>
      </c>
      <c r="I243">
        <v>29400</v>
      </c>
      <c r="J243">
        <v>6193.57</v>
      </c>
    </row>
    <row r="244" spans="1:10" x14ac:dyDescent="0.25">
      <c r="A244" t="s">
        <v>361</v>
      </c>
      <c r="B244" s="2">
        <v>46070</v>
      </c>
      <c r="C244" t="s">
        <v>335</v>
      </c>
      <c r="D244" t="s">
        <v>25</v>
      </c>
      <c r="E244" t="s">
        <v>26</v>
      </c>
      <c r="F244" t="s">
        <v>22</v>
      </c>
      <c r="G244">
        <v>2</v>
      </c>
      <c r="H244">
        <v>0.05</v>
      </c>
      <c r="I244">
        <v>3990</v>
      </c>
      <c r="J244">
        <v>447.61</v>
      </c>
    </row>
    <row r="245" spans="1:10" x14ac:dyDescent="0.25">
      <c r="A245" t="s">
        <v>362</v>
      </c>
      <c r="B245" s="2">
        <v>46152</v>
      </c>
      <c r="C245" t="s">
        <v>36</v>
      </c>
      <c r="D245" t="s">
        <v>17</v>
      </c>
      <c r="E245" t="s">
        <v>18</v>
      </c>
      <c r="F245" t="s">
        <v>50</v>
      </c>
      <c r="G245">
        <v>1</v>
      </c>
      <c r="H245">
        <v>0.1</v>
      </c>
      <c r="I245">
        <v>72</v>
      </c>
      <c r="J245">
        <v>18.52</v>
      </c>
    </row>
    <row r="246" spans="1:10" x14ac:dyDescent="0.25">
      <c r="A246" t="s">
        <v>363</v>
      </c>
      <c r="B246" s="2">
        <v>46087</v>
      </c>
      <c r="C246" t="s">
        <v>31</v>
      </c>
      <c r="D246" t="s">
        <v>62</v>
      </c>
      <c r="E246" t="s">
        <v>26</v>
      </c>
      <c r="F246" t="s">
        <v>19</v>
      </c>
      <c r="G246">
        <v>1</v>
      </c>
      <c r="H246">
        <v>0.05</v>
      </c>
      <c r="I246">
        <v>3040</v>
      </c>
      <c r="J246">
        <v>735.48</v>
      </c>
    </row>
    <row r="247" spans="1:10" x14ac:dyDescent="0.25">
      <c r="A247" t="s">
        <v>364</v>
      </c>
      <c r="B247" s="2">
        <v>46171</v>
      </c>
      <c r="C247" t="s">
        <v>159</v>
      </c>
      <c r="D247" t="s">
        <v>12</v>
      </c>
      <c r="E247" t="s">
        <v>13</v>
      </c>
      <c r="F247" t="s">
        <v>29</v>
      </c>
      <c r="G247">
        <v>6</v>
      </c>
      <c r="H247">
        <v>0</v>
      </c>
      <c r="I247">
        <v>45000</v>
      </c>
      <c r="J247">
        <v>4859.12</v>
      </c>
    </row>
    <row r="248" spans="1:10" x14ac:dyDescent="0.25">
      <c r="A248" t="s">
        <v>365</v>
      </c>
      <c r="B248" s="2">
        <v>46198</v>
      </c>
      <c r="C248" t="s">
        <v>54</v>
      </c>
      <c r="D248" t="s">
        <v>40</v>
      </c>
      <c r="E248" t="s">
        <v>13</v>
      </c>
      <c r="F248" t="s">
        <v>14</v>
      </c>
      <c r="G248">
        <v>8</v>
      </c>
      <c r="H248">
        <v>0.1</v>
      </c>
      <c r="I248">
        <v>30240</v>
      </c>
      <c r="J248">
        <v>6462.66</v>
      </c>
    </row>
    <row r="249" spans="1:10" x14ac:dyDescent="0.25">
      <c r="A249" t="s">
        <v>366</v>
      </c>
      <c r="B249" s="2">
        <v>46032</v>
      </c>
      <c r="C249" t="s">
        <v>147</v>
      </c>
      <c r="D249" t="s">
        <v>57</v>
      </c>
      <c r="E249" t="s">
        <v>18</v>
      </c>
      <c r="F249" t="s">
        <v>14</v>
      </c>
      <c r="G249">
        <v>5</v>
      </c>
      <c r="H249">
        <v>0</v>
      </c>
      <c r="I249">
        <v>14000</v>
      </c>
      <c r="J249">
        <v>1510.39</v>
      </c>
    </row>
    <row r="250" spans="1:10" x14ac:dyDescent="0.25">
      <c r="A250" t="s">
        <v>367</v>
      </c>
      <c r="B250" s="2">
        <v>46102</v>
      </c>
      <c r="C250" t="s">
        <v>75</v>
      </c>
      <c r="D250" t="s">
        <v>62</v>
      </c>
      <c r="E250" t="s">
        <v>26</v>
      </c>
      <c r="F250" t="s">
        <v>19</v>
      </c>
      <c r="G250">
        <v>7</v>
      </c>
      <c r="H250">
        <v>0.1</v>
      </c>
      <c r="I250">
        <v>20160</v>
      </c>
      <c r="J250">
        <v>2935.22</v>
      </c>
    </row>
    <row r="251" spans="1:10" x14ac:dyDescent="0.25">
      <c r="A251" t="s">
        <v>368</v>
      </c>
      <c r="B251" s="2">
        <v>46114</v>
      </c>
      <c r="C251" t="s">
        <v>254</v>
      </c>
      <c r="D251" t="s">
        <v>34</v>
      </c>
      <c r="E251" t="s">
        <v>26</v>
      </c>
      <c r="F251" t="s">
        <v>50</v>
      </c>
      <c r="G251">
        <v>1</v>
      </c>
      <c r="H251">
        <v>0.05</v>
      </c>
      <c r="I251">
        <v>1710</v>
      </c>
      <c r="J251">
        <v>255.1</v>
      </c>
    </row>
    <row r="253" spans="1:10" x14ac:dyDescent="0.25">
      <c r="A253">
        <f>SUM(I2:I251)</f>
        <v>3830706</v>
      </c>
    </row>
    <row r="254" spans="1:10" x14ac:dyDescent="0.25">
      <c r="A254">
        <f>SUM(J2:J251)</f>
        <v>744148.66000000027</v>
      </c>
    </row>
  </sheetData>
  <autoFilter ref="A1:J25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14" sqref="B14"/>
    </sheetView>
  </sheetViews>
  <sheetFormatPr defaultRowHeight="15" x14ac:dyDescent="0.25"/>
  <sheetData>
    <row r="1" spans="1:3" x14ac:dyDescent="0.25">
      <c r="A1" s="1" t="s">
        <v>369</v>
      </c>
      <c r="B1" s="1" t="s">
        <v>370</v>
      </c>
      <c r="C1" s="1" t="s">
        <v>371</v>
      </c>
    </row>
    <row r="2" spans="1:3" x14ac:dyDescent="0.25">
      <c r="A2" t="s">
        <v>372</v>
      </c>
      <c r="B2" t="s">
        <v>373</v>
      </c>
      <c r="C2" t="s">
        <v>374</v>
      </c>
    </row>
    <row r="5" spans="1:3" x14ac:dyDescent="0.25">
      <c r="A5" t="s">
        <v>386</v>
      </c>
    </row>
    <row r="6" spans="1:3" x14ac:dyDescent="0.25">
      <c r="A6" t="s">
        <v>387</v>
      </c>
      <c r="B6" t="s">
        <v>388</v>
      </c>
    </row>
    <row r="7" spans="1:3" x14ac:dyDescent="0.25">
      <c r="A7" t="s">
        <v>389</v>
      </c>
      <c r="B7" t="s">
        <v>69</v>
      </c>
    </row>
    <row r="8" spans="1:3" x14ac:dyDescent="0.25">
      <c r="A8" t="s">
        <v>390</v>
      </c>
      <c r="B8" t="s">
        <v>19</v>
      </c>
    </row>
    <row r="9" spans="1:3" x14ac:dyDescent="0.25">
      <c r="A9" t="s">
        <v>391</v>
      </c>
      <c r="B9" t="s">
        <v>392</v>
      </c>
    </row>
    <row r="10" spans="1:3" x14ac:dyDescent="0.25">
      <c r="A10" t="s">
        <v>393</v>
      </c>
      <c r="B10" t="s">
        <v>394</v>
      </c>
    </row>
    <row r="11" spans="1:3" x14ac:dyDescent="0.25">
      <c r="A11" t="s">
        <v>395</v>
      </c>
      <c r="B11" t="s">
        <v>396</v>
      </c>
    </row>
    <row r="12" spans="1:3" x14ac:dyDescent="0.25">
      <c r="A12" t="s">
        <v>397</v>
      </c>
      <c r="B12" t="s">
        <v>69</v>
      </c>
    </row>
    <row r="13" spans="1:3" x14ac:dyDescent="0.25">
      <c r="A13" t="s">
        <v>398</v>
      </c>
      <c r="B13" t="s">
        <v>392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showGridLines="0" tabSelected="1" zoomScale="85" zoomScaleNormal="85" workbookViewId="0">
      <selection activeCell="N4" sqref="N4"/>
    </sheetView>
  </sheetViews>
  <sheetFormatPr defaultRowHeight="15" x14ac:dyDescent="0.25"/>
  <sheetData>
    <row r="1" spans="1:12" ht="23.25" x14ac:dyDescent="0.35">
      <c r="A1" s="7" t="s">
        <v>399</v>
      </c>
      <c r="B1" s="7"/>
      <c r="C1" s="7"/>
    </row>
    <row r="3" spans="1:12" ht="18.75" x14ac:dyDescent="0.3">
      <c r="A3" s="8" t="s">
        <v>400</v>
      </c>
      <c r="B3" s="9"/>
      <c r="C3" s="8" t="s">
        <v>405</v>
      </c>
      <c r="D3" s="10"/>
      <c r="E3" s="8" t="s">
        <v>403</v>
      </c>
      <c r="F3" s="8"/>
      <c r="G3" s="12" t="s">
        <v>404</v>
      </c>
      <c r="H3" s="11"/>
      <c r="I3" s="8" t="s">
        <v>406</v>
      </c>
      <c r="J3" s="8"/>
      <c r="K3" s="9"/>
      <c r="L3" s="13"/>
    </row>
    <row r="4" spans="1:12" ht="18.75" x14ac:dyDescent="0.3">
      <c r="A4" s="8" t="s">
        <v>401</v>
      </c>
      <c r="B4" s="9"/>
      <c r="C4" s="8" t="s">
        <v>402</v>
      </c>
      <c r="D4" s="11"/>
      <c r="E4" s="8" t="s">
        <v>69</v>
      </c>
      <c r="F4" s="8"/>
      <c r="G4" s="12" t="s">
        <v>19</v>
      </c>
      <c r="H4" s="11"/>
      <c r="I4" s="8" t="s">
        <v>392</v>
      </c>
      <c r="J4" s="9"/>
      <c r="K4" s="8"/>
      <c r="L4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Sales Data</vt:lpstr>
      <vt:lpstr>Project Info</vt:lpstr>
      <vt:lpstr>Sales 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Rooi</cp:lastModifiedBy>
  <dcterms:created xsi:type="dcterms:W3CDTF">2026-08-22T18:14:20Z</dcterms:created>
  <dcterms:modified xsi:type="dcterms:W3CDTF">2026-08-27T09:58:22Z</dcterms:modified>
</cp:coreProperties>
</file>